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D94CA60B-0EF5-458C-B3C0-48FA9D316FC2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Cover Page" sheetId="13" r:id="rId1"/>
    <sheet name="Income Statement" sheetId="1" r:id="rId2"/>
    <sheet name="Balance Sheet" sheetId="2" r:id="rId3"/>
    <sheet name="Cash Flow" sheetId="3" r:id="rId4"/>
    <sheet name="ROIC" sheetId="5" r:id="rId5"/>
    <sheet name="WACC" sheetId="6" r:id="rId6"/>
    <sheet name="UFCF" sheetId="7" r:id="rId7"/>
    <sheet name="TERMINAL VALUE" sheetId="8" r:id="rId8"/>
    <sheet name="Comparable Valuation" sheetId="9" r:id="rId9"/>
    <sheet name="DUPONT" sheetId="10" r:id="rId10"/>
    <sheet name="ALTMAN SCORE" sheetId="11" r:id="rId11"/>
    <sheet name="Sheet1" sheetId="4" r:id="rId12"/>
    <sheet name="Sheet2" sheetId="1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8" l="1"/>
  <c r="H24" i="8"/>
  <c r="J10" i="6"/>
  <c r="D14" i="7"/>
  <c r="E41" i="8"/>
  <c r="E38" i="8"/>
  <c r="E22" i="6"/>
  <c r="E21" i="6"/>
  <c r="E29" i="6"/>
  <c r="D22" i="5"/>
  <c r="D16" i="5"/>
  <c r="D14" i="5"/>
  <c r="D12" i="5"/>
  <c r="E43" i="10"/>
  <c r="F43" i="10"/>
  <c r="G43" i="10"/>
  <c r="H43" i="10"/>
  <c r="D43" i="10"/>
  <c r="D39" i="10"/>
  <c r="D45" i="10" s="1"/>
  <c r="E39" i="10"/>
  <c r="E45" i="10" s="1"/>
  <c r="F39" i="10"/>
  <c r="F45" i="10" s="1"/>
  <c r="G39" i="10"/>
  <c r="G45" i="10" s="1"/>
  <c r="H39" i="10"/>
  <c r="H45" i="10" s="1"/>
  <c r="E33" i="10"/>
  <c r="F33" i="10"/>
  <c r="G33" i="10"/>
  <c r="H33" i="10"/>
  <c r="D33" i="10"/>
  <c r="E27" i="10"/>
  <c r="F27" i="10"/>
  <c r="G27" i="10"/>
  <c r="H27" i="10"/>
  <c r="D27" i="10"/>
  <c r="E11" i="10"/>
  <c r="F11" i="10"/>
  <c r="G11" i="10"/>
  <c r="H11" i="10"/>
  <c r="D11" i="10"/>
  <c r="P63" i="9"/>
  <c r="P71" i="9"/>
  <c r="P55" i="9"/>
  <c r="P47" i="9"/>
  <c r="P39" i="9"/>
  <c r="P31" i="9"/>
  <c r="F11" i="9"/>
  <c r="H11" i="9" s="1"/>
  <c r="O11" i="9" s="1"/>
  <c r="F12" i="9"/>
  <c r="H12" i="9" s="1"/>
  <c r="O12" i="9" s="1"/>
  <c r="F13" i="9"/>
  <c r="H13" i="9" s="1"/>
  <c r="O13" i="9" s="1"/>
  <c r="F14" i="9"/>
  <c r="H14" i="9" s="1"/>
  <c r="O14" i="9" s="1"/>
  <c r="F15" i="9"/>
  <c r="H15" i="9" s="1"/>
  <c r="O15" i="9" s="1"/>
  <c r="F10" i="9"/>
  <c r="H10" i="9" s="1"/>
  <c r="O10" i="9" s="1"/>
  <c r="O18" i="9" s="1"/>
  <c r="E49" i="8"/>
  <c r="E47" i="8"/>
  <c r="E46" i="8"/>
  <c r="E31" i="8"/>
  <c r="E28" i="8"/>
  <c r="E18" i="8"/>
  <c r="D12" i="7"/>
  <c r="D11" i="7"/>
  <c r="E12" i="8"/>
  <c r="E11" i="8"/>
  <c r="E10" i="8"/>
  <c r="E9" i="8"/>
  <c r="E16" i="8" s="1"/>
  <c r="E13" i="7"/>
  <c r="F13" i="7"/>
  <c r="G13" i="7"/>
  <c r="H13" i="7"/>
  <c r="E12" i="7"/>
  <c r="F12" i="7"/>
  <c r="G12" i="7"/>
  <c r="H12" i="7"/>
  <c r="E11" i="7"/>
  <c r="F11" i="7"/>
  <c r="G11" i="7"/>
  <c r="H11" i="7"/>
  <c r="E10" i="7"/>
  <c r="E14" i="7" s="1"/>
  <c r="F10" i="7"/>
  <c r="F14" i="7" s="1"/>
  <c r="G10" i="7"/>
  <c r="G14" i="7" s="1"/>
  <c r="H10" i="7"/>
  <c r="H14" i="7" s="1"/>
  <c r="E9" i="7"/>
  <c r="F9" i="7"/>
  <c r="G9" i="7"/>
  <c r="H9" i="7"/>
  <c r="E8" i="7"/>
  <c r="F8" i="7"/>
  <c r="G8" i="7"/>
  <c r="H8" i="7"/>
  <c r="D10" i="7"/>
  <c r="E26" i="5"/>
  <c r="F26" i="5"/>
  <c r="G26" i="5"/>
  <c r="H26" i="5"/>
  <c r="D9" i="7"/>
  <c r="D8" i="7"/>
  <c r="J9" i="6"/>
  <c r="J12" i="6"/>
  <c r="D25" i="5"/>
  <c r="J13" i="6"/>
  <c r="E13" i="6"/>
  <c r="D20" i="5"/>
  <c r="E25" i="5"/>
  <c r="F25" i="5"/>
  <c r="G25" i="5"/>
  <c r="H25" i="5"/>
  <c r="H20" i="5"/>
  <c r="G20" i="5"/>
  <c r="F20" i="5"/>
  <c r="E20" i="5"/>
  <c r="E19" i="5"/>
  <c r="F19" i="5"/>
  <c r="G19" i="5"/>
  <c r="H19" i="5"/>
  <c r="D19" i="5"/>
  <c r="D9" i="5"/>
  <c r="E14" i="5"/>
  <c r="F14" i="5"/>
  <c r="G14" i="5"/>
  <c r="H14" i="5"/>
  <c r="E11" i="5"/>
  <c r="F11" i="5"/>
  <c r="G11" i="5"/>
  <c r="H11" i="5"/>
  <c r="D11" i="5"/>
  <c r="E10" i="5"/>
  <c r="F10" i="5"/>
  <c r="G10" i="5"/>
  <c r="H10" i="5"/>
  <c r="D10" i="5"/>
  <c r="E9" i="5"/>
  <c r="F9" i="5"/>
  <c r="G9" i="5"/>
  <c r="H9" i="5"/>
  <c r="D24" i="5"/>
  <c r="D26" i="5" s="1"/>
  <c r="E24" i="5"/>
  <c r="F24" i="5"/>
  <c r="G24" i="5"/>
  <c r="H24" i="5"/>
  <c r="E12" i="5"/>
  <c r="F12" i="5"/>
  <c r="G12" i="5"/>
  <c r="H12" i="5"/>
  <c r="E16" i="5"/>
  <c r="E22" i="5" s="1"/>
  <c r="F16" i="5"/>
  <c r="F22" i="5" s="1"/>
  <c r="G16" i="5"/>
  <c r="G22" i="5" s="1"/>
  <c r="H16" i="5"/>
  <c r="H22" i="5" s="1"/>
  <c r="D27" i="1"/>
  <c r="D33" i="2"/>
  <c r="E33" i="2"/>
  <c r="F33" i="2"/>
  <c r="G33" i="2"/>
  <c r="H33" i="2"/>
  <c r="I33" i="2"/>
  <c r="J33" i="2"/>
  <c r="K33" i="2"/>
  <c r="L33" i="2"/>
  <c r="M33" i="2"/>
  <c r="E45" i="1"/>
  <c r="D45" i="1"/>
  <c r="E49" i="1"/>
  <c r="F49" i="1"/>
  <c r="G49" i="1"/>
  <c r="H49" i="1"/>
  <c r="I49" i="1"/>
  <c r="J49" i="1"/>
  <c r="K49" i="1"/>
  <c r="L49" i="1"/>
  <c r="D49" i="1"/>
  <c r="E46" i="1"/>
  <c r="F46" i="1"/>
  <c r="G46" i="1"/>
  <c r="H46" i="1"/>
  <c r="I46" i="1"/>
  <c r="J46" i="1"/>
  <c r="K46" i="1"/>
  <c r="L46" i="1"/>
  <c r="D46" i="1"/>
  <c r="E43" i="1"/>
  <c r="F43" i="1"/>
  <c r="G43" i="1"/>
  <c r="H43" i="1"/>
  <c r="I43" i="1"/>
  <c r="J43" i="1"/>
  <c r="K43" i="1"/>
  <c r="L43" i="1"/>
  <c r="D43" i="1"/>
  <c r="E34" i="1"/>
  <c r="F34" i="1"/>
  <c r="G34" i="1"/>
  <c r="H34" i="1"/>
  <c r="I34" i="1"/>
  <c r="J34" i="1"/>
  <c r="K34" i="1"/>
  <c r="L34" i="1"/>
  <c r="D34" i="1"/>
  <c r="F22" i="1"/>
  <c r="G22" i="1"/>
  <c r="H22" i="1"/>
  <c r="I22" i="1"/>
  <c r="J22" i="1"/>
  <c r="K22" i="1"/>
  <c r="L22" i="1"/>
  <c r="E22" i="1"/>
  <c r="D22" i="1"/>
  <c r="E19" i="1"/>
  <c r="F19" i="1"/>
  <c r="G19" i="1"/>
  <c r="H19" i="1"/>
  <c r="I19" i="1"/>
  <c r="J19" i="1"/>
  <c r="K19" i="1"/>
  <c r="L19" i="1"/>
  <c r="D19" i="1"/>
  <c r="E13" i="1"/>
  <c r="F13" i="1"/>
  <c r="G13" i="1"/>
  <c r="H13" i="1"/>
  <c r="I13" i="1"/>
  <c r="J13" i="1"/>
  <c r="K13" i="1"/>
  <c r="L13" i="1"/>
  <c r="D13" i="1"/>
  <c r="E10" i="1"/>
  <c r="F10" i="1"/>
  <c r="G10" i="1"/>
  <c r="H10" i="1"/>
  <c r="I10" i="1"/>
  <c r="J10" i="1"/>
  <c r="K10" i="1"/>
  <c r="L10" i="1"/>
  <c r="D10" i="1"/>
  <c r="F28" i="3"/>
  <c r="G28" i="3"/>
  <c r="H28" i="3"/>
  <c r="I28" i="3"/>
  <c r="J28" i="3"/>
  <c r="K28" i="3"/>
  <c r="L28" i="3"/>
  <c r="M28" i="3"/>
  <c r="E28" i="3"/>
  <c r="D28" i="3"/>
  <c r="D9" i="3"/>
  <c r="D19" i="3" s="1"/>
  <c r="D38" i="3" s="1"/>
  <c r="M12" i="3"/>
  <c r="E12" i="3"/>
  <c r="F12" i="3"/>
  <c r="G12" i="3"/>
  <c r="H12" i="3"/>
  <c r="I12" i="3"/>
  <c r="J12" i="3"/>
  <c r="K12" i="3"/>
  <c r="L12" i="3"/>
  <c r="D12" i="3"/>
  <c r="E26" i="2"/>
  <c r="F26" i="2"/>
  <c r="G26" i="2"/>
  <c r="H26" i="2"/>
  <c r="I26" i="2"/>
  <c r="J26" i="2"/>
  <c r="K26" i="2"/>
  <c r="L26" i="2"/>
  <c r="M26" i="2"/>
  <c r="D26" i="2"/>
  <c r="M14" i="2"/>
  <c r="L14" i="2"/>
  <c r="K14" i="2"/>
  <c r="J14" i="2"/>
  <c r="I14" i="2"/>
  <c r="H14" i="2"/>
  <c r="G14" i="2"/>
  <c r="F14" i="2"/>
  <c r="E14" i="2"/>
  <c r="D14" i="2"/>
  <c r="E9" i="3"/>
  <c r="E19" i="3" s="1"/>
  <c r="E38" i="3" s="1"/>
  <c r="F9" i="3"/>
  <c r="F19" i="3" s="1"/>
  <c r="F38" i="3" s="1"/>
  <c r="G9" i="3"/>
  <c r="G19" i="3" s="1"/>
  <c r="G38" i="3" s="1"/>
  <c r="H9" i="3"/>
  <c r="H19" i="3" s="1"/>
  <c r="H38" i="3" s="1"/>
  <c r="I9" i="3"/>
  <c r="I19" i="3" s="1"/>
  <c r="I38" i="3" s="1"/>
  <c r="J9" i="3"/>
  <c r="J19" i="3" s="1"/>
  <c r="K9" i="3"/>
  <c r="K19" i="3" s="1"/>
  <c r="K38" i="3" s="1"/>
  <c r="L9" i="3"/>
  <c r="L19" i="3" s="1"/>
  <c r="L38" i="3" s="1"/>
  <c r="M9" i="3"/>
  <c r="M19" i="3" s="1"/>
  <c r="M38" i="3" s="1"/>
  <c r="D24" i="1"/>
  <c r="I39" i="1"/>
  <c r="J39" i="1"/>
  <c r="K39" i="1"/>
  <c r="L39" i="1"/>
  <c r="M39" i="1"/>
  <c r="E39" i="1"/>
  <c r="F39" i="1"/>
  <c r="G39" i="1"/>
  <c r="H39" i="1"/>
  <c r="H40" i="1" s="1"/>
  <c r="D39" i="1"/>
  <c r="D40" i="1" s="1"/>
  <c r="D15" i="1"/>
  <c r="J24" i="1"/>
  <c r="K24" i="1"/>
  <c r="L24" i="1"/>
  <c r="M24" i="1"/>
  <c r="E24" i="1"/>
  <c r="F24" i="1"/>
  <c r="G24" i="1"/>
  <c r="H24" i="1"/>
  <c r="I24" i="1"/>
  <c r="I25" i="1" s="1"/>
  <c r="M15" i="1"/>
  <c r="H15" i="1"/>
  <c r="I15" i="1"/>
  <c r="J15" i="1"/>
  <c r="K15" i="1"/>
  <c r="L15" i="1"/>
  <c r="E15" i="1"/>
  <c r="F15" i="1"/>
  <c r="G15" i="1"/>
  <c r="P10" i="9" l="1"/>
  <c r="P15" i="9"/>
  <c r="P14" i="9"/>
  <c r="P13" i="9"/>
  <c r="P12" i="9"/>
  <c r="P11" i="9"/>
  <c r="E32" i="8"/>
  <c r="E33" i="8" s="1"/>
  <c r="K23" i="8"/>
  <c r="J23" i="8"/>
  <c r="I23" i="8"/>
  <c r="H23" i="8"/>
  <c r="H9" i="8"/>
  <c r="E17" i="8"/>
  <c r="I9" i="8"/>
  <c r="H28" i="5"/>
  <c r="G28" i="5"/>
  <c r="F28" i="5"/>
  <c r="E28" i="5"/>
  <c r="G27" i="1"/>
  <c r="G28" i="1" s="1"/>
  <c r="G16" i="1"/>
  <c r="F27" i="1"/>
  <c r="F28" i="1" s="1"/>
  <c r="F16" i="1"/>
  <c r="E27" i="1"/>
  <c r="E28" i="1" s="1"/>
  <c r="E16" i="1"/>
  <c r="L27" i="1"/>
  <c r="L28" i="1" s="1"/>
  <c r="L16" i="1"/>
  <c r="K27" i="1"/>
  <c r="K28" i="1" s="1"/>
  <c r="K16" i="1"/>
  <c r="J27" i="1"/>
  <c r="J28" i="1" s="1"/>
  <c r="J16" i="1"/>
  <c r="I27" i="1"/>
  <c r="I28" i="1" s="1"/>
  <c r="I16" i="1"/>
  <c r="H27" i="1"/>
  <c r="H28" i="1" s="1"/>
  <c r="H16" i="1"/>
  <c r="M27" i="1"/>
  <c r="H25" i="1"/>
  <c r="G25" i="1"/>
  <c r="F25" i="1"/>
  <c r="E25" i="1"/>
  <c r="L25" i="1"/>
  <c r="K25" i="1"/>
  <c r="J25" i="1"/>
  <c r="D28" i="1"/>
  <c r="D16" i="1"/>
  <c r="G40" i="1"/>
  <c r="F40" i="1"/>
  <c r="E40" i="1"/>
  <c r="L40" i="1"/>
  <c r="K40" i="1"/>
  <c r="J40" i="1"/>
  <c r="I40" i="1"/>
  <c r="D25" i="1"/>
  <c r="J38" i="3"/>
  <c r="D28" i="5" l="1"/>
  <c r="E20" i="8"/>
  <c r="D13" i="7"/>
  <c r="P23" i="9"/>
  <c r="P22" i="9"/>
  <c r="P19" i="9"/>
  <c r="P21" i="9"/>
  <c r="P20" i="9"/>
  <c r="P18" i="9"/>
  <c r="N11" i="9"/>
  <c r="N12" i="9"/>
  <c r="N13" i="9"/>
  <c r="N14" i="9"/>
  <c r="N15" i="9"/>
  <c r="N10" i="9"/>
  <c r="I18" i="8"/>
  <c r="H18" i="8"/>
  <c r="H15" i="8"/>
  <c r="H16" i="8" s="1"/>
  <c r="I11" i="8"/>
  <c r="I15" i="8"/>
  <c r="I16" i="8" s="1"/>
  <c r="H11" i="8"/>
  <c r="H14" i="8" s="1"/>
  <c r="J9" i="8"/>
  <c r="I14" i="8"/>
  <c r="E22" i="8" l="1"/>
  <c r="E19" i="8"/>
  <c r="N18" i="9"/>
  <c r="N23" i="9"/>
  <c r="N22" i="9"/>
  <c r="N19" i="9"/>
  <c r="N21" i="9"/>
  <c r="N20" i="9"/>
  <c r="O23" i="9"/>
  <c r="O22" i="9"/>
  <c r="O19" i="9"/>
  <c r="O21" i="9"/>
  <c r="O20" i="9"/>
  <c r="J20" i="8"/>
  <c r="J18" i="8"/>
  <c r="J11" i="8"/>
  <c r="J15" i="8"/>
  <c r="J16" i="8" s="1"/>
  <c r="K9" i="8"/>
  <c r="J14" i="8"/>
  <c r="I20" i="8" l="1"/>
  <c r="H20" i="8"/>
  <c r="H21" i="8" s="1"/>
  <c r="H22" i="8" s="1"/>
  <c r="O59" i="9"/>
  <c r="O61" i="9" s="1"/>
  <c r="O63" i="9" s="1"/>
  <c r="O67" i="9"/>
  <c r="O69" i="9" s="1"/>
  <c r="O71" i="9" s="1"/>
  <c r="O51" i="9"/>
  <c r="O53" i="9" s="1"/>
  <c r="O55" i="9" s="1"/>
  <c r="O43" i="9"/>
  <c r="O45" i="9" s="1"/>
  <c r="O47" i="9" s="1"/>
  <c r="O35" i="9"/>
  <c r="O37" i="9" s="1"/>
  <c r="O39" i="9" s="1"/>
  <c r="O27" i="9"/>
  <c r="O29" i="9" s="1"/>
  <c r="O31" i="9" s="1"/>
  <c r="N35" i="9"/>
  <c r="N37" i="9" s="1"/>
  <c r="N39" i="9" s="1"/>
  <c r="N43" i="9"/>
  <c r="N45" i="9" s="1"/>
  <c r="N47" i="9" s="1"/>
  <c r="N51" i="9"/>
  <c r="N53" i="9" s="1"/>
  <c r="N55" i="9" s="1"/>
  <c r="N59" i="9"/>
  <c r="N61" i="9" s="1"/>
  <c r="N63" i="9" s="1"/>
  <c r="N67" i="9"/>
  <c r="N69" i="9" s="1"/>
  <c r="N71" i="9" s="1"/>
  <c r="N27" i="9"/>
  <c r="N29" i="9" s="1"/>
  <c r="N31" i="9" s="1"/>
  <c r="K20" i="8"/>
  <c r="K21" i="8" s="1"/>
  <c r="K18" i="8"/>
  <c r="K15" i="8"/>
  <c r="K16" i="8" s="1"/>
  <c r="K11" i="8"/>
  <c r="K14" i="8" s="1"/>
  <c r="K22" i="8" s="1"/>
  <c r="K24" i="8" s="1"/>
  <c r="I21" i="8" l="1"/>
  <c r="I22" i="8" s="1"/>
  <c r="I24" i="8" s="1"/>
  <c r="J21" i="8"/>
  <c r="J22" i="8" s="1"/>
  <c r="E35" i="8"/>
  <c r="E37" i="8" s="1"/>
  <c r="E42" i="8" s="1"/>
  <c r="E45" i="8" s="1"/>
  <c r="E34" i="8"/>
  <c r="E48" i="8" l="1"/>
  <c r="E5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Rithika Pallewar</author>
  </authors>
  <commentList>
    <comment ref="B25" authorId="0" shapeId="0" xr:uid="{505EA2EC-5CDA-4991-BB3B-221BDD08CB35}">
      <text>
        <r>
          <rPr>
            <sz val="11"/>
            <color theme="1"/>
            <rFont val="Calibri"/>
            <family val="2"/>
            <scheme val="minor"/>
          </rPr>
          <t xml:space="preserve">
Tax Rate = Income Tax Expense/Pre-Tax Income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Rithika Pallewar</author>
  </authors>
  <commentList>
    <comment ref="B29" authorId="0" shapeId="0" xr:uid="{C3911B8C-FE72-4F59-A31A-D8BF894B78FF}">
      <text>
        <r>
          <rPr>
            <sz val="11"/>
            <color theme="1"/>
            <rFont val="Calibri"/>
            <family val="2"/>
            <scheme val="minor"/>
          </rPr>
          <t xml:space="preserve">=(E/V*Cost Of Equity)+(D/V*After Tax Cost Debt)
</t>
        </r>
      </text>
    </comment>
  </commentList>
</comments>
</file>

<file path=xl/sharedStrings.xml><?xml version="1.0" encoding="utf-8"?>
<sst xmlns="http://schemas.openxmlformats.org/spreadsheetml/2006/main" count="568" uniqueCount="281">
  <si>
    <t>FINANCIAL MODELLING &amp;</t>
  </si>
  <si>
    <t>VALUATION REPORT</t>
  </si>
  <si>
    <t>NVIDIA</t>
  </si>
  <si>
    <t>By Rithika Pallewar</t>
  </si>
  <si>
    <t>NVIDIA Financial Statement Model</t>
  </si>
  <si>
    <t>Units: USD Millions</t>
  </si>
  <si>
    <t>Income Statement (USD Millions)</t>
  </si>
  <si>
    <t>Fiscal Year</t>
  </si>
  <si>
    <t>FY2025</t>
  </si>
  <si>
    <t>FY2024</t>
  </si>
  <si>
    <t>FY2023</t>
  </si>
  <si>
    <t>FY2022</t>
  </si>
  <si>
    <t>FY2021</t>
  </si>
  <si>
    <t>FY2020</t>
  </si>
  <si>
    <t>FY2019</t>
  </si>
  <si>
    <t>FY2018</t>
  </si>
  <si>
    <t>FY2017</t>
  </si>
  <si>
    <t>FY2016</t>
  </si>
  <si>
    <t>Revenue</t>
  </si>
  <si>
    <t>-</t>
  </si>
  <si>
    <t>COGS</t>
  </si>
  <si>
    <t>Gross Profit</t>
  </si>
  <si>
    <t>Gross Margin %</t>
  </si>
  <si>
    <t>R&amp;D Expense</t>
  </si>
  <si>
    <t>SG&amp;A Expense</t>
  </si>
  <si>
    <t>Total Operating Expenses</t>
  </si>
  <si>
    <t>Operating Income (EBIT)</t>
  </si>
  <si>
    <t>Operating Margin %</t>
  </si>
  <si>
    <t>Interest Expense</t>
  </si>
  <si>
    <t>Pre-Tax Income</t>
  </si>
  <si>
    <t>Income Taxes</t>
  </si>
  <si>
    <t>Income After Taxes</t>
  </si>
  <si>
    <t>Net Income</t>
  </si>
  <si>
    <t>EBITDA</t>
  </si>
  <si>
    <t>Basic Shares Outstanding</t>
  </si>
  <si>
    <t>Shares Outstanding</t>
  </si>
  <si>
    <t>Basic EPS</t>
  </si>
  <si>
    <t>EPS - Earnings Per Share</t>
  </si>
  <si>
    <t>Balance Sheet (USD Millions)</t>
  </si>
  <si>
    <t>Cash On Hand</t>
  </si>
  <si>
    <t>Receivables</t>
  </si>
  <si>
    <t>Inventory</t>
  </si>
  <si>
    <t>Pre-Paid Expenses</t>
  </si>
  <si>
    <t>Other Current Assets</t>
  </si>
  <si>
    <t>Total Current Assets</t>
  </si>
  <si>
    <t>Property, Plant, And Equipment</t>
  </si>
  <si>
    <t>Long-Term Investments</t>
  </si>
  <si>
    <t>Goodwill And Intangible Assets</t>
  </si>
  <si>
    <t>Other Long-Term Assets</t>
  </si>
  <si>
    <t>Total Long-Term Assets</t>
  </si>
  <si>
    <t>Total Assets</t>
  </si>
  <si>
    <t>Total Current Liabilities</t>
  </si>
  <si>
    <t>Long Term Debt</t>
  </si>
  <si>
    <t>Other Non-Current Liabilities</t>
  </si>
  <si>
    <t>Total Long Term Liabilities</t>
  </si>
  <si>
    <t>Total Liabilities</t>
  </si>
  <si>
    <t>Common Stock Net</t>
  </si>
  <si>
    <t xml:space="preserve">Retained Earnings </t>
  </si>
  <si>
    <t>Comprehensive Income</t>
  </si>
  <si>
    <t>Other Share Holders Equity</t>
  </si>
  <si>
    <t>Share Holder Equity</t>
  </si>
  <si>
    <t>Total Liabilities And Share Holders Equity</t>
  </si>
  <si>
    <t>Cash Flow Statement (USD Millions)</t>
  </si>
  <si>
    <t>Net Income/Loss</t>
  </si>
  <si>
    <t>Total Depreciation And Amortization</t>
  </si>
  <si>
    <t>Other Non-Cash Items</t>
  </si>
  <si>
    <t>Total Non-Cash Items</t>
  </si>
  <si>
    <t>Change In Accounts Receivable</t>
  </si>
  <si>
    <t>Change In Inventories</t>
  </si>
  <si>
    <t>Change In Accounts Payable</t>
  </si>
  <si>
    <t>Change In Assets/Liabilities</t>
  </si>
  <si>
    <t>Total Change In Assets/Liabilities</t>
  </si>
  <si>
    <t>Cash Flow From Operating Activities</t>
  </si>
  <si>
    <t>Net Change In Property, Plant, And Equipment</t>
  </si>
  <si>
    <t>Net Change In Intangible Assets</t>
  </si>
  <si>
    <t>Net Acquisitions/Divestitures</t>
  </si>
  <si>
    <t>Net Change In Short-term Investments</t>
  </si>
  <si>
    <t>Net Change In Long-Term Investments</t>
  </si>
  <si>
    <t>Net Change In Investments - Total</t>
  </si>
  <si>
    <t>Investing Activities - Other</t>
  </si>
  <si>
    <t>Cash Flow From Investing Activities</t>
  </si>
  <si>
    <t>Net Long-Term Debt</t>
  </si>
  <si>
    <t>Net Current Debt</t>
  </si>
  <si>
    <t>Debt Issuance/Retirement Net - Total</t>
  </si>
  <si>
    <t>Net Common Equity Issued/Repurchased</t>
  </si>
  <si>
    <t>Net Total Equity Issued/Repurchased</t>
  </si>
  <si>
    <t>Total Common And Preferred Stock Dividends Paid</t>
  </si>
  <si>
    <t>Financial Activities - Other</t>
  </si>
  <si>
    <t>Cash Flow From Financial Activities</t>
  </si>
  <si>
    <t>Net Cash Flow</t>
  </si>
  <si>
    <t>Stock-Based Compensation</t>
  </si>
  <si>
    <t>Common Stock Dividends Paid</t>
  </si>
  <si>
    <t>Calculation OF ROIC</t>
  </si>
  <si>
    <t>Operating Current Assets</t>
  </si>
  <si>
    <t>Net Working Capital</t>
  </si>
  <si>
    <t>Non Current Assets</t>
  </si>
  <si>
    <t>Net Property, Plant, And Equipment</t>
  </si>
  <si>
    <t>Invested Capital</t>
  </si>
  <si>
    <t>Oprating Income (EBIT)</t>
  </si>
  <si>
    <t>Tax Rate</t>
  </si>
  <si>
    <t>NOPAT</t>
  </si>
  <si>
    <t>ROIC</t>
  </si>
  <si>
    <t>Cost of Equity (CAPM)</t>
  </si>
  <si>
    <t>Cost of Debt</t>
  </si>
  <si>
    <t>Risk Free Rate</t>
  </si>
  <si>
    <t>Beta</t>
  </si>
  <si>
    <t>Total Debt</t>
  </si>
  <si>
    <t>Market Risk Premium</t>
  </si>
  <si>
    <t>Implied Cost of Debt</t>
  </si>
  <si>
    <t>Assumed Cost of Debt</t>
  </si>
  <si>
    <t>Cost of Equity</t>
  </si>
  <si>
    <t>After-Tax Cost of Debt</t>
  </si>
  <si>
    <t>Capital Structure</t>
  </si>
  <si>
    <t>Share Price</t>
  </si>
  <si>
    <t>Market Value of Equity (E)</t>
  </si>
  <si>
    <t>Total Capital (V)</t>
  </si>
  <si>
    <t>Equity Weight (E/V)</t>
  </si>
  <si>
    <t>Debt Weight (D/V)</t>
  </si>
  <si>
    <t>WACC (Weighted Average Cost of Capital)</t>
  </si>
  <si>
    <t>Equity Weight</t>
  </si>
  <si>
    <t>Cost of Debt (After Tax)</t>
  </si>
  <si>
    <t>Debt Weight</t>
  </si>
  <si>
    <t xml:space="preserve">WACC </t>
  </si>
  <si>
    <t>Calculation Unlevered Free Cash Flow (UFCF).</t>
  </si>
  <si>
    <t>FY2026</t>
  </si>
  <si>
    <t>FY2027</t>
  </si>
  <si>
    <t>FY2028</t>
  </si>
  <si>
    <t>FY2029</t>
  </si>
  <si>
    <t>EBIT</t>
  </si>
  <si>
    <t>Depreciation &amp; Amortization</t>
  </si>
  <si>
    <t>Capital Ependiture</t>
  </si>
  <si>
    <t>Change in Net Working Capital</t>
  </si>
  <si>
    <t>Unlevered Free Cash Flow</t>
  </si>
  <si>
    <t>Calculation Of PV of FCF</t>
  </si>
  <si>
    <t>2025A</t>
  </si>
  <si>
    <t>2026E</t>
  </si>
  <si>
    <t>2027E</t>
  </si>
  <si>
    <t>2028E</t>
  </si>
  <si>
    <t>2029E</t>
  </si>
  <si>
    <t>Revenue Growth</t>
  </si>
  <si>
    <t>EBIT Margin</t>
  </si>
  <si>
    <t>D&amp;A</t>
  </si>
  <si>
    <t>Corporate Tax</t>
  </si>
  <si>
    <t>CapEx % of revenue</t>
  </si>
  <si>
    <t>CapEx</t>
  </si>
  <si>
    <t>NWC % revenue</t>
  </si>
  <si>
    <t>NWC</t>
  </si>
  <si>
    <t>ΔNWC</t>
  </si>
  <si>
    <t>Free Cash Flow</t>
  </si>
  <si>
    <t>Discounting Factor</t>
  </si>
  <si>
    <t>PV of FCFF</t>
  </si>
  <si>
    <t>Expected Growth</t>
  </si>
  <si>
    <t>Terminal Growth rate</t>
  </si>
  <si>
    <t>WACC</t>
  </si>
  <si>
    <t>Calaculation of Terminal Value</t>
  </si>
  <si>
    <t>Sensitivity Analysis – Implied Share Price</t>
  </si>
  <si>
    <t xml:space="preserve">Terminal Growth </t>
  </si>
  <si>
    <t>WACC \ g</t>
  </si>
  <si>
    <t>Final Year FCF (2029)</t>
  </si>
  <si>
    <t>FCF in Terminal Year (2030)</t>
  </si>
  <si>
    <t xml:space="preserve">Terminal Value </t>
  </si>
  <si>
    <t xml:space="preserve">Discount Factor	
</t>
  </si>
  <si>
    <t>Calculation of Equity Value Per Share</t>
  </si>
  <si>
    <t>PV of Terminal Value</t>
  </si>
  <si>
    <t>Enterprise Value</t>
  </si>
  <si>
    <t>Add:Cash</t>
  </si>
  <si>
    <t>Less:Debt</t>
  </si>
  <si>
    <t>Equity Value</t>
  </si>
  <si>
    <t>Implied Share Price</t>
  </si>
  <si>
    <t>Comparable Company Valuation</t>
  </si>
  <si>
    <t>Market Data</t>
  </si>
  <si>
    <t>Financials</t>
  </si>
  <si>
    <t>Valuation</t>
  </si>
  <si>
    <t>Company</t>
  </si>
  <si>
    <t xml:space="preserve">Equity Value </t>
  </si>
  <si>
    <t>Net Debt</t>
  </si>
  <si>
    <t>EV/Revenue</t>
  </si>
  <si>
    <t>EV/EBITDA</t>
  </si>
  <si>
    <t>P/E</t>
  </si>
  <si>
    <t>AMD</t>
  </si>
  <si>
    <t>Intel</t>
  </si>
  <si>
    <t>Broadcom</t>
  </si>
  <si>
    <t>Qualcomm</t>
  </si>
  <si>
    <t>TSMC</t>
  </si>
  <si>
    <t>Low (Min)</t>
  </si>
  <si>
    <t>25th Percentile</t>
  </si>
  <si>
    <t>Median</t>
  </si>
  <si>
    <t>Average</t>
  </si>
  <si>
    <t>75th Percentile</t>
  </si>
  <si>
    <t>High (Max)</t>
  </si>
  <si>
    <t>Nvidia Comparable Valuation</t>
  </si>
  <si>
    <t>Implied Enterprise Value</t>
  </si>
  <si>
    <t>—</t>
  </si>
  <si>
    <t>Implied Market Value</t>
  </si>
  <si>
    <t>Implied Value Per Share</t>
  </si>
  <si>
    <t>OVERVALUED</t>
  </si>
  <si>
    <t>SLIGHTLY UNDERVALUED</t>
  </si>
  <si>
    <t>Advanced Micro Devices Comparable Valuation</t>
  </si>
  <si>
    <t>Intel Comparable Valuation</t>
  </si>
  <si>
    <t>Broadcom Comparable Valuation</t>
  </si>
  <si>
    <t>Qualcomm Comparable Valuation</t>
  </si>
  <si>
    <t>Taiwan Semiconductor Manufacturing Company Comparable Valuation</t>
  </si>
  <si>
    <t>DUPONT ANALYSIS</t>
  </si>
  <si>
    <t>Return on Equity</t>
  </si>
  <si>
    <t>Net Profit</t>
  </si>
  <si>
    <t>Average Shareholder’s Equity</t>
  </si>
  <si>
    <t>Return on Equity – DuPont Equation</t>
  </si>
  <si>
    <t>Net Profit Margin (A)</t>
  </si>
  <si>
    <t>Average Total Assets</t>
  </si>
  <si>
    <t>Assets Turnover Ratio (B)</t>
  </si>
  <si>
    <t>Equity Multiplier (C)</t>
  </si>
  <si>
    <t>Return on Equity (A×B×C)</t>
  </si>
  <si>
    <t>Return on Assets</t>
  </si>
  <si>
    <t>Return on Assets – DuPont Equation</t>
  </si>
  <si>
    <t>Return on Assets (A×B)</t>
  </si>
  <si>
    <t>DuPont Analysis Summary</t>
  </si>
  <si>
    <t>(FY2021–FY2025 for NVIDIA)</t>
  </si>
  <si>
    <r>
      <t>ROE increased significantly</t>
    </r>
    <r>
      <rPr>
        <sz val="11"/>
        <color theme="1"/>
        <rFont val="Calibri"/>
        <family val="2"/>
        <scheme val="minor"/>
      </rPr>
      <t xml:space="preserve"> from ~26% in FY2021 to ~92% in FY2025, indicating a substantial improvement in shareholder returns over the period.</t>
    </r>
  </si>
  <si>
    <r>
      <t>Net Profit Margin rose sharply</t>
    </r>
    <r>
      <rPr>
        <sz val="11"/>
        <color theme="1"/>
        <rFont val="Calibri"/>
        <family val="2"/>
        <scheme val="minor"/>
      </rPr>
      <t>, especially after FY2023, driven by strong demand for AI and data-center GPUs and improved pricing power.</t>
    </r>
  </si>
  <si>
    <r>
      <rPr>
        <b/>
        <sz val="11"/>
        <color rgb="FF000000"/>
        <rFont val="Calibri"/>
        <scheme val="minor"/>
      </rPr>
      <t>Asset Turnover improved steadily</t>
    </r>
    <r>
      <rPr>
        <sz val="11"/>
        <color rgb="FF000000"/>
        <rFont val="Calibri"/>
        <scheme val="minor"/>
      </rPr>
      <t>, meaning NVIDIA generated more revenue per dollar of assets as operations scaled.</t>
    </r>
  </si>
  <si>
    <r>
      <t>Equity Multiplier declined slightly</t>
    </r>
    <r>
      <rPr>
        <sz val="11"/>
        <color theme="1"/>
        <rFont val="Calibri"/>
        <family val="2"/>
        <scheme val="minor"/>
      </rPr>
      <t>, indicating the company relied less on financial leverage over time.</t>
    </r>
  </si>
  <si>
    <r>
      <t xml:space="preserve">The rise in </t>
    </r>
    <r>
      <rPr>
        <b/>
        <sz val="11"/>
        <color theme="1"/>
        <rFont val="Calibri"/>
        <family val="2"/>
        <scheme val="minor"/>
      </rPr>
      <t>ROE was primarily driven by operational performance (profitability and efficiency)</t>
    </r>
    <r>
      <rPr>
        <sz val="11"/>
        <color theme="1"/>
        <rFont val="Calibri"/>
        <family val="2"/>
        <scheme val="minor"/>
      </rPr>
      <t xml:space="preserve"> rather than increased debt.</t>
    </r>
  </si>
  <si>
    <r>
      <t>ROA also increased substantially</t>
    </r>
    <r>
      <rPr>
        <sz val="11"/>
        <color theme="1"/>
        <rFont val="Calibri"/>
        <family val="2"/>
        <scheme val="minor"/>
      </rPr>
      <t>, reflecting improved asset productivity and stronger overall operational efficiency.</t>
    </r>
  </si>
  <si>
    <r>
      <t xml:space="preserve">Overall, the DuPont analysis shows that NVIDIA’s growth in shareholder returns was mainly supported by </t>
    </r>
    <r>
      <rPr>
        <b/>
        <sz val="11"/>
        <color theme="1"/>
        <rFont val="Calibri"/>
        <family val="2"/>
        <scheme val="minor"/>
      </rPr>
      <t>higher margins and better asset utilization</t>
    </r>
    <r>
      <rPr>
        <sz val="11"/>
        <color theme="1"/>
        <rFont val="Calibri"/>
        <family val="2"/>
        <scheme val="minor"/>
      </rPr>
      <t>, not financial leverage.</t>
    </r>
  </si>
  <si>
    <t xml:space="preserve">Altman Z-Score Calculation: </t>
  </si>
  <si>
    <t>Working Capital / Total Assets</t>
  </si>
  <si>
    <t>Working Capital</t>
  </si>
  <si>
    <t>Working Capital / Total Assets (A)</t>
  </si>
  <si>
    <t>Retained Earnings / Total Assets</t>
  </si>
  <si>
    <t>Retained Earnings</t>
  </si>
  <si>
    <t>Retained Earnings / Total Assets (B)</t>
  </si>
  <si>
    <t>EBIT / Total Assets</t>
  </si>
  <si>
    <t>EBIT / Total Assets (C)</t>
  </si>
  <si>
    <t>Market Capitalisation / Total Liabilities</t>
  </si>
  <si>
    <t>Market Capitalisation</t>
  </si>
  <si>
    <t>Market Cap / Total Liabilities (D)</t>
  </si>
  <si>
    <t>Sales / Total Assets</t>
  </si>
  <si>
    <t>Sales</t>
  </si>
  <si>
    <t>Sales / Total Assets (E)</t>
  </si>
  <si>
    <t>Altman Z-Score</t>
  </si>
  <si>
    <t>Status</t>
  </si>
  <si>
    <t>Safe</t>
  </si>
  <si>
    <t>Score</t>
  </si>
  <si>
    <t>Interpretation</t>
  </si>
  <si>
    <t>2.99              | Safe zone |</t>
  </si>
  <si>
    <r>
      <t xml:space="preserve">NVIDIA’s scores are </t>
    </r>
    <r>
      <rPr>
        <b/>
        <sz val="11"/>
        <color rgb="FF000000"/>
        <rFont val="Calibri"/>
        <charset val="1"/>
      </rPr>
      <t>far above 2.99</t>
    </r>
    <r>
      <rPr>
        <sz val="11"/>
        <color rgb="FF000000"/>
        <rFont val="Calibri"/>
        <charset val="1"/>
      </rPr>
      <t xml:space="preserve">, indicating </t>
    </r>
    <r>
      <rPr>
        <b/>
        <sz val="11"/>
        <color rgb="FF000000"/>
        <rFont val="Calibri"/>
        <charset val="1"/>
      </rPr>
      <t>extremely low bankruptcy risk</t>
    </r>
    <r>
      <rPr>
        <sz val="11"/>
        <color rgb="FF000000"/>
        <rFont val="Calibri"/>
        <charset val="1"/>
      </rPr>
      <t xml:space="preserve"> and strong financial stability.</t>
    </r>
  </si>
  <si>
    <t>1.81 – 2.99  | Grey zone |</t>
  </si>
  <si>
    <t xml:space="preserve">&lt; 1.81           | Distress zone |  </t>
  </si>
  <si>
    <t>NVIDIA DCF</t>
  </si>
  <si>
    <t>Assumptions</t>
  </si>
  <si>
    <t>Switches</t>
  </si>
  <si>
    <t>Conservative</t>
  </si>
  <si>
    <t>Base</t>
  </si>
  <si>
    <t>Optimistic</t>
  </si>
  <si>
    <t>Year</t>
  </si>
  <si>
    <t>Metric</t>
  </si>
  <si>
    <t xml:space="preserve">Year </t>
  </si>
  <si>
    <t>TGR</t>
  </si>
  <si>
    <t>Income Statement</t>
  </si>
  <si>
    <t>2025E</t>
  </si>
  <si>
    <t>2024E</t>
  </si>
  <si>
    <t>2023E</t>
  </si>
  <si>
    <t>2021E</t>
  </si>
  <si>
    <t>2022E</t>
  </si>
  <si>
    <t>2020E</t>
  </si>
  <si>
    <t>2019E</t>
  </si>
  <si>
    <t>2018E</t>
  </si>
  <si>
    <t>2017E</t>
  </si>
  <si>
    <t>2016E</t>
  </si>
  <si>
    <t>2026A</t>
  </si>
  <si>
    <t>2027A</t>
  </si>
  <si>
    <t>2028A</t>
  </si>
  <si>
    <t>2029A</t>
  </si>
  <si>
    <t>% growth</t>
  </si>
  <si>
    <t xml:space="preserve">% of sales </t>
  </si>
  <si>
    <t>Cash Flow</t>
  </si>
  <si>
    <t>Change IN NWC</t>
  </si>
  <si>
    <t>% of change in sales</t>
  </si>
  <si>
    <t>DCF</t>
  </si>
  <si>
    <t>Taxes</t>
  </si>
  <si>
    <t>Taxes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</si>
</sst>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 &quot;₹&quot;\ * #,##0_ ;_ &quot;₹&quot;\ * \-#,##0_ ;_ &quot;₹&quot;\ * &quot;-&quot;_ ;_ @_ "/>
    <numFmt numFmtId="43" formatCode="_ * #,##0.00_ ;_ * \-#,##0.00_ ;_ * &quot;-&quot;??_ ;_ @_ "/>
    <numFmt numFmtId="164" formatCode="&quot;$&quot;#,##0_);[Red]\(&quot;$&quot;#,##0\)"/>
    <numFmt numFmtId="165" formatCode="&quot;$&quot;#,##0.00_);[Red]\(&quot;$&quot;#,##0.00\)"/>
    <numFmt numFmtId="166" formatCode="0.0%"/>
    <numFmt numFmtId="167" formatCode="0.000"/>
    <numFmt numFmtId="168" formatCode="0.0"/>
    <numFmt numFmtId="169" formatCode="&quot;$&quot;#,##0.00"/>
    <numFmt numFmtId="170" formatCode="_([$$-409]* #,##0.00_);_([$$-409]* \(#,##0.00\);_([$$-409]* &quot;-&quot;??_);_(@_)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1"/>
      <color rgb="FF000000"/>
      <name val="Calibri"/>
      <charset val="1"/>
    </font>
    <font>
      <sz val="11"/>
      <color rgb="FF000000"/>
      <name val="Consolas"/>
      <charset val="1"/>
    </font>
    <font>
      <i/>
      <sz val="11"/>
      <color theme="1" tint="0.34998626667073579"/>
      <name val="Calibri"/>
      <family val="2"/>
      <scheme val="minor"/>
    </font>
    <font>
      <b/>
      <sz val="14"/>
      <color rgb="FF000000"/>
      <name val="Calibri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sz val="11"/>
      <color rgb="FF242424"/>
      <name val="Aptos Narrow"/>
      <charset val="1"/>
    </font>
    <font>
      <b/>
      <u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i/>
      <sz val="11"/>
      <color rgb="FF000000"/>
      <name val="Calibri"/>
      <scheme val="minor"/>
    </font>
    <font>
      <b/>
      <sz val="16"/>
      <color rgb="FF000000"/>
      <name val="Calibri"/>
      <scheme val="minor"/>
    </font>
    <font>
      <i/>
      <sz val="11"/>
      <color theme="4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sz val="16"/>
      <color theme="1"/>
      <name val="Calibri"/>
      <family val="2"/>
      <scheme val="minor"/>
    </font>
    <font>
      <sz val="16"/>
      <color theme="1"/>
      <name val="Calibri Light"/>
      <scheme val="major"/>
    </font>
    <font>
      <sz val="36"/>
      <color theme="1"/>
      <name val="Calibri"/>
      <family val="2"/>
      <scheme val="minor"/>
    </font>
    <font>
      <sz val="16"/>
      <color rgb="FF000000"/>
      <name val="Calibri"/>
      <charset val="1"/>
    </font>
    <font>
      <b/>
      <sz val="36"/>
      <color theme="1"/>
      <name val="Candara"/>
    </font>
    <font>
      <b/>
      <sz val="11"/>
      <color theme="1"/>
      <name val="Candara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1" fontId="0" fillId="0" borderId="0" xfId="0" applyNumberFormat="1"/>
    <xf numFmtId="1" fontId="0" fillId="0" borderId="2" xfId="0" applyNumberFormat="1" applyBorder="1"/>
    <xf numFmtId="42" fontId="0" fillId="0" borderId="0" xfId="0" applyNumberFormat="1" applyAlignment="1">
      <alignment horizontal="right"/>
    </xf>
    <xf numFmtId="0" fontId="0" fillId="0" borderId="0" xfId="0" applyAlignment="1"/>
    <xf numFmtId="0" fontId="3" fillId="0" borderId="0" xfId="0" applyFont="1" applyAlignment="1"/>
    <xf numFmtId="0" fontId="5" fillId="0" borderId="0" xfId="0" applyFont="1" applyAlignment="1"/>
    <xf numFmtId="0" fontId="0" fillId="0" borderId="0" xfId="0" applyAlignment="1">
      <alignment horizontal="right"/>
    </xf>
    <xf numFmtId="0" fontId="1" fillId="0" borderId="0" xfId="0" applyFont="1" applyAlignment="1"/>
    <xf numFmtId="1" fontId="0" fillId="0" borderId="0" xfId="0" applyNumberFormat="1" applyAlignment="1">
      <alignment horizontal="right"/>
    </xf>
    <xf numFmtId="9" fontId="7" fillId="0" borderId="0" xfId="0" applyNumberFormat="1" applyFont="1"/>
    <xf numFmtId="9" fontId="7" fillId="0" borderId="0" xfId="0" applyNumberFormat="1" applyFont="1" applyAlignment="1"/>
    <xf numFmtId="0" fontId="9" fillId="2" borderId="0" xfId="0" applyFont="1" applyFill="1"/>
    <xf numFmtId="0" fontId="10" fillId="2" borderId="0" xfId="0" applyFont="1" applyFill="1"/>
    <xf numFmtId="0" fontId="0" fillId="3" borderId="0" xfId="0" applyFill="1"/>
    <xf numFmtId="0" fontId="12" fillId="0" borderId="0" xfId="0" applyFont="1"/>
    <xf numFmtId="0" fontId="13" fillId="0" borderId="0" xfId="0" applyFont="1"/>
    <xf numFmtId="0" fontId="0" fillId="2" borderId="0" xfId="0" applyFill="1"/>
    <xf numFmtId="0" fontId="10" fillId="3" borderId="0" xfId="0" applyFont="1" applyFill="1"/>
    <xf numFmtId="0" fontId="14" fillId="3" borderId="0" xfId="0" applyFont="1" applyFill="1"/>
    <xf numFmtId="0" fontId="11" fillId="2" borderId="0" xfId="0" applyFont="1" applyFill="1"/>
    <xf numFmtId="0" fontId="11" fillId="2" borderId="0" xfId="0" applyFont="1" applyFill="1" applyAlignment="1"/>
    <xf numFmtId="0" fontId="15" fillId="0" borderId="0" xfId="0" applyFont="1"/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5" fillId="0" borderId="0" xfId="0" applyFont="1" applyAlignment="1"/>
    <xf numFmtId="0" fontId="0" fillId="4" borderId="0" xfId="0" applyFill="1"/>
    <xf numFmtId="0" fontId="0" fillId="0" borderId="0" xfId="0" applyFill="1"/>
    <xf numFmtId="0" fontId="0" fillId="0" borderId="2" xfId="0" applyBorder="1"/>
    <xf numFmtId="10" fontId="0" fillId="0" borderId="0" xfId="0" applyNumberFormat="1"/>
    <xf numFmtId="0" fontId="1" fillId="0" borderId="0" xfId="0" applyFont="1" applyBorder="1" applyAlignment="1"/>
    <xf numFmtId="0" fontId="0" fillId="0" borderId="0" xfId="0" applyBorder="1"/>
    <xf numFmtId="10" fontId="1" fillId="0" borderId="0" xfId="0" applyNumberFormat="1" applyFont="1"/>
    <xf numFmtId="0" fontId="1" fillId="2" borderId="0" xfId="0" applyFont="1" applyFill="1"/>
    <xf numFmtId="0" fontId="14" fillId="2" borderId="0" xfId="0" applyFont="1" applyFill="1"/>
    <xf numFmtId="3" fontId="0" fillId="0" borderId="0" xfId="0" applyNumberFormat="1"/>
    <xf numFmtId="10" fontId="0" fillId="0" borderId="0" xfId="0" applyNumberFormat="1" applyAlignment="1"/>
    <xf numFmtId="0" fontId="16" fillId="0" borderId="0" xfId="0" applyFont="1" applyAlignment="1"/>
    <xf numFmtId="0" fontId="10" fillId="2" borderId="0" xfId="0" applyFont="1" applyFill="1" applyAlignment="1"/>
    <xf numFmtId="0" fontId="14" fillId="2" borderId="0" xfId="0" applyFont="1" applyFill="1" applyAlignment="1"/>
    <xf numFmtId="0" fontId="0" fillId="0" borderId="0" xfId="0" applyNumberFormat="1"/>
    <xf numFmtId="2" fontId="0" fillId="0" borderId="0" xfId="0" applyNumberFormat="1"/>
    <xf numFmtId="9" fontId="0" fillId="0" borderId="0" xfId="0" applyNumberFormat="1"/>
    <xf numFmtId="0" fontId="1" fillId="0" borderId="3" xfId="0" applyFont="1" applyBorder="1"/>
    <xf numFmtId="0" fontId="0" fillId="0" borderId="3" xfId="0" applyBorder="1"/>
    <xf numFmtId="2" fontId="0" fillId="0" borderId="3" xfId="0" applyNumberFormat="1" applyBorder="1"/>
    <xf numFmtId="1" fontId="0" fillId="5" borderId="0" xfId="0" applyNumberFormat="1" applyFill="1"/>
    <xf numFmtId="10" fontId="0" fillId="5" borderId="0" xfId="0" applyNumberFormat="1" applyFill="1"/>
    <xf numFmtId="9" fontId="0" fillId="5" borderId="0" xfId="0" applyNumberFormat="1" applyFill="1"/>
    <xf numFmtId="2" fontId="0" fillId="5" borderId="0" xfId="0" applyNumberFormat="1" applyFill="1"/>
    <xf numFmtId="0" fontId="0" fillId="5" borderId="0" xfId="0" applyFill="1"/>
    <xf numFmtId="166" fontId="17" fillId="5" borderId="0" xfId="0" applyNumberFormat="1" applyFont="1" applyFill="1"/>
    <xf numFmtId="10" fontId="17" fillId="5" borderId="0" xfId="0" applyNumberFormat="1" applyFont="1" applyFill="1"/>
    <xf numFmtId="9" fontId="17" fillId="5" borderId="0" xfId="0" applyNumberFormat="1" applyFont="1" applyFill="1"/>
    <xf numFmtId="2" fontId="0" fillId="5" borderId="3" xfId="0" applyNumberFormat="1" applyFill="1" applyBorder="1"/>
    <xf numFmtId="0" fontId="1" fillId="5" borderId="0" xfId="0" applyFont="1" applyFill="1"/>
    <xf numFmtId="10" fontId="1" fillId="5" borderId="0" xfId="0" applyNumberFormat="1" applyFont="1" applyFill="1"/>
    <xf numFmtId="0" fontId="1" fillId="0" borderId="0" xfId="0" applyNumberFormat="1" applyFont="1"/>
    <xf numFmtId="167" fontId="0" fillId="0" borderId="0" xfId="0" applyNumberFormat="1"/>
    <xf numFmtId="2" fontId="1" fillId="5" borderId="0" xfId="0" applyNumberFormat="1" applyFont="1" applyFill="1"/>
    <xf numFmtId="0" fontId="2" fillId="5" borderId="2" xfId="0" applyFont="1" applyFill="1" applyBorder="1"/>
    <xf numFmtId="0" fontId="0" fillId="5" borderId="2" xfId="0" applyFill="1" applyBorder="1"/>
    <xf numFmtId="43" fontId="0" fillId="5" borderId="2" xfId="0" applyNumberFormat="1" applyFill="1" applyBorder="1"/>
    <xf numFmtId="0" fontId="0" fillId="6" borderId="0" xfId="0" applyFill="1"/>
    <xf numFmtId="0" fontId="18" fillId="6" borderId="0" xfId="0" applyFont="1" applyFill="1"/>
    <xf numFmtId="3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7" borderId="0" xfId="0" applyFont="1" applyFill="1"/>
    <xf numFmtId="0" fontId="0" fillId="8" borderId="0" xfId="0" applyFill="1"/>
    <xf numFmtId="0" fontId="0" fillId="8" borderId="0" xfId="0" applyFill="1" applyAlignment="1"/>
    <xf numFmtId="2" fontId="0" fillId="8" borderId="0" xfId="0" applyNumberFormat="1" applyFill="1" applyAlignment="1">
      <alignment horizontal="right"/>
    </xf>
    <xf numFmtId="0" fontId="0" fillId="8" borderId="0" xfId="0" applyFill="1" applyAlignment="1">
      <alignment wrapText="1"/>
    </xf>
    <xf numFmtId="2" fontId="0" fillId="8" borderId="0" xfId="0" applyNumberFormat="1" applyFill="1" applyAlignment="1">
      <alignment horizontal="right" wrapText="1"/>
    </xf>
    <xf numFmtId="0" fontId="2" fillId="8" borderId="0" xfId="0" applyFont="1" applyFill="1"/>
    <xf numFmtId="2" fontId="1" fillId="8" borderId="0" xfId="0" applyNumberFormat="1" applyFont="1" applyFill="1" applyAlignment="1">
      <alignment horizontal="right" wrapText="1"/>
    </xf>
    <xf numFmtId="2" fontId="0" fillId="0" borderId="0" xfId="0" applyNumberFormat="1" applyAlignment="1">
      <alignment wrapText="1"/>
    </xf>
    <xf numFmtId="2" fontId="1" fillId="9" borderId="0" xfId="0" applyNumberFormat="1" applyFont="1" applyFill="1" applyAlignment="1">
      <alignment horizontal="right" wrapText="1"/>
    </xf>
    <xf numFmtId="0" fontId="2" fillId="9" borderId="0" xfId="0" applyFont="1" applyFill="1"/>
    <xf numFmtId="0" fontId="18" fillId="6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right" wrapText="1"/>
    </xf>
    <xf numFmtId="0" fontId="2" fillId="6" borderId="0" xfId="0" applyFont="1" applyFill="1" applyAlignment="1">
      <alignment horizontal="right"/>
    </xf>
    <xf numFmtId="0" fontId="0" fillId="7" borderId="0" xfId="0" applyFill="1" applyAlignment="1">
      <alignment horizontal="right"/>
    </xf>
    <xf numFmtId="3" fontId="0" fillId="7" borderId="0" xfId="0" applyNumberFormat="1" applyFill="1" applyAlignment="1">
      <alignment horizontal="right"/>
    </xf>
    <xf numFmtId="0" fontId="0" fillId="7" borderId="0" xfId="0" applyFont="1" applyFill="1" applyAlignment="1">
      <alignment horizontal="right"/>
    </xf>
    <xf numFmtId="3" fontId="0" fillId="7" borderId="0" xfId="0" applyNumberFormat="1" applyFont="1" applyFill="1" applyAlignment="1">
      <alignment horizontal="right"/>
    </xf>
    <xf numFmtId="3" fontId="0" fillId="7" borderId="0" xfId="0" applyNumberFormat="1" applyFill="1" applyAlignment="1">
      <alignment horizontal="right" wrapText="1"/>
    </xf>
    <xf numFmtId="168" fontId="0" fillId="7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Font="1" applyAlignment="1">
      <alignment horizontal="right"/>
    </xf>
    <xf numFmtId="3" fontId="0" fillId="0" borderId="0" xfId="0" applyNumberFormat="1" applyAlignment="1">
      <alignment horizontal="right" wrapText="1"/>
    </xf>
    <xf numFmtId="168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0" fillId="8" borderId="0" xfId="0" applyFill="1" applyAlignment="1">
      <alignment horizontal="right"/>
    </xf>
    <xf numFmtId="2" fontId="0" fillId="0" borderId="0" xfId="0" applyNumberFormat="1" applyAlignment="1">
      <alignment horizontal="right" wrapText="1"/>
    </xf>
    <xf numFmtId="168" fontId="0" fillId="0" borderId="0" xfId="0" applyNumberFormat="1" applyFill="1" applyAlignment="1">
      <alignment horizontal="right"/>
    </xf>
    <xf numFmtId="0" fontId="14" fillId="2" borderId="0" xfId="0" applyFont="1" applyFill="1" applyAlignment="1">
      <alignment wrapText="1"/>
    </xf>
    <xf numFmtId="0" fontId="14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4" fillId="2" borderId="0" xfId="0" applyFont="1" applyFill="1" applyAlignment="1">
      <alignment horizontal="right" wrapText="1"/>
    </xf>
    <xf numFmtId="0" fontId="1" fillId="0" borderId="4" xfId="0" applyFont="1" applyBorder="1" applyAlignment="1"/>
    <xf numFmtId="2" fontId="1" fillId="0" borderId="4" xfId="0" applyNumberFormat="1" applyFont="1" applyBorder="1" applyAlignment="1">
      <alignment wrapText="1"/>
    </xf>
    <xf numFmtId="165" fontId="1" fillId="0" borderId="4" xfId="0" applyNumberFormat="1" applyFont="1" applyBorder="1" applyAlignment="1">
      <alignment horizontal="right"/>
    </xf>
    <xf numFmtId="0" fontId="0" fillId="0" borderId="4" xfId="0" applyBorder="1" applyAlignment="1">
      <alignment horizontal="right"/>
    </xf>
    <xf numFmtId="169" fontId="1" fillId="0" borderId="4" xfId="0" applyNumberFormat="1" applyFont="1" applyBorder="1" applyAlignment="1">
      <alignment horizontal="right" wrapText="1"/>
    </xf>
    <xf numFmtId="169" fontId="1" fillId="0" borderId="4" xfId="0" applyNumberFormat="1" applyFont="1" applyBorder="1" applyAlignment="1">
      <alignment horizontal="right"/>
    </xf>
    <xf numFmtId="0" fontId="1" fillId="0" borderId="4" xfId="0" applyFont="1" applyBorder="1"/>
    <xf numFmtId="165" fontId="1" fillId="0" borderId="4" xfId="0" applyNumberFormat="1" applyFont="1" applyBorder="1" applyAlignment="1">
      <alignment wrapText="1"/>
    </xf>
    <xf numFmtId="165" fontId="1" fillId="0" borderId="4" xfId="0" applyNumberFormat="1" applyFont="1" applyBorder="1" applyAlignment="1">
      <alignment horizontal="right" wrapText="1"/>
    </xf>
    <xf numFmtId="0" fontId="0" fillId="0" borderId="4" xfId="0" applyBorder="1"/>
    <xf numFmtId="0" fontId="1" fillId="0" borderId="4" xfId="0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18" fillId="6" borderId="0" xfId="0" applyFont="1" applyFill="1" applyAlignment="1">
      <alignment horizontal="right" wrapText="1"/>
    </xf>
    <xf numFmtId="10" fontId="14" fillId="2" borderId="0" xfId="0" applyNumberFormat="1" applyFont="1" applyFill="1"/>
    <xf numFmtId="0" fontId="14" fillId="6" borderId="0" xfId="0" applyFont="1" applyFill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4" fillId="0" borderId="0" xfId="0" applyFont="1" applyFill="1"/>
    <xf numFmtId="0" fontId="1" fillId="0" borderId="0" xfId="0" applyFont="1" applyFill="1"/>
    <xf numFmtId="0" fontId="2" fillId="0" borderId="0" xfId="0" applyFont="1" applyBorder="1" applyAlignment="1"/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3" fillId="0" borderId="2" xfId="0" applyFont="1" applyBorder="1"/>
    <xf numFmtId="0" fontId="2" fillId="5" borderId="2" xfId="0" applyFont="1" applyFill="1" applyBorder="1" applyAlignment="1"/>
    <xf numFmtId="0" fontId="5" fillId="5" borderId="2" xfId="0" applyFont="1" applyFill="1" applyBorder="1"/>
    <xf numFmtId="1" fontId="0" fillId="5" borderId="2" xfId="0" applyNumberFormat="1" applyFill="1" applyBorder="1"/>
    <xf numFmtId="0" fontId="21" fillId="5" borderId="2" xfId="0" applyFont="1" applyFill="1" applyBorder="1"/>
    <xf numFmtId="0" fontId="1" fillId="5" borderId="2" xfId="0" applyFont="1" applyFill="1" applyBorder="1"/>
    <xf numFmtId="10" fontId="1" fillId="5" borderId="2" xfId="0" applyNumberFormat="1" applyFont="1" applyFill="1" applyBorder="1"/>
    <xf numFmtId="170" fontId="1" fillId="5" borderId="0" xfId="0" applyNumberFormat="1" applyFont="1" applyFill="1"/>
    <xf numFmtId="0" fontId="1" fillId="5" borderId="0" xfId="0" applyFont="1" applyFill="1" applyAlignment="1"/>
    <xf numFmtId="0" fontId="10" fillId="6" borderId="0" xfId="0" applyFont="1" applyFill="1" applyAlignment="1"/>
    <xf numFmtId="0" fontId="14" fillId="6" borderId="0" xfId="0" applyFont="1" applyFill="1" applyAlignment="1"/>
    <xf numFmtId="0" fontId="1" fillId="5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2" fillId="0" borderId="2" xfId="0" applyFont="1" applyBorder="1"/>
    <xf numFmtId="0" fontId="1" fillId="5" borderId="2" xfId="0" applyFont="1" applyFill="1" applyBorder="1" applyAlignment="1">
      <alignment wrapText="1"/>
    </xf>
    <xf numFmtId="0" fontId="24" fillId="4" borderId="0" xfId="0" applyFont="1" applyFill="1"/>
    <xf numFmtId="0" fontId="22" fillId="4" borderId="0" xfId="0" applyFont="1" applyFill="1" applyAlignment="1"/>
    <xf numFmtId="0" fontId="0" fillId="4" borderId="0" xfId="0" applyFill="1" applyAlignment="1">
      <alignment wrapText="1"/>
    </xf>
    <xf numFmtId="0" fontId="0" fillId="0" borderId="0" xfId="0" applyFill="1" applyAlignment="1">
      <alignment wrapText="1"/>
    </xf>
    <xf numFmtId="0" fontId="25" fillId="0" borderId="0" xfId="0" applyFont="1" applyAlignment="1"/>
    <xf numFmtId="0" fontId="0" fillId="4" borderId="0" xfId="0" applyFill="1" applyAlignment="1"/>
    <xf numFmtId="0" fontId="23" fillId="0" borderId="0" xfId="0" applyFont="1" applyFill="1"/>
    <xf numFmtId="0" fontId="26" fillId="4" borderId="0" xfId="0" applyFont="1" applyFill="1"/>
    <xf numFmtId="0" fontId="27" fillId="4" borderId="0" xfId="0" applyFont="1" applyFill="1"/>
    <xf numFmtId="0" fontId="6" fillId="0" borderId="0" xfId="0" quotePrefix="1" applyFont="1"/>
    <xf numFmtId="0" fontId="5" fillId="0" borderId="2" xfId="0" applyFont="1" applyBorder="1" applyAlignment="1"/>
    <xf numFmtId="0" fontId="2" fillId="0" borderId="6" xfId="0" applyFont="1" applyBorder="1" applyAlignment="1"/>
    <xf numFmtId="0" fontId="0" fillId="0" borderId="6" xfId="0" applyBorder="1"/>
    <xf numFmtId="0" fontId="5" fillId="0" borderId="3" xfId="0" applyFont="1" applyBorder="1" applyAlignment="1"/>
    <xf numFmtId="0" fontId="2" fillId="0" borderId="3" xfId="0" applyFont="1" applyBorder="1" applyAlignment="1"/>
    <xf numFmtId="1" fontId="0" fillId="0" borderId="0" xfId="0" applyNumberFormat="1" applyFont="1" applyAlignment="1">
      <alignment horizontal="right"/>
    </xf>
    <xf numFmtId="1" fontId="4" fillId="0" borderId="0" xfId="0" quotePrefix="1" applyNumberFormat="1" applyFont="1"/>
    <xf numFmtId="2" fontId="0" fillId="0" borderId="0" xfId="0" applyNumberFormat="1" applyFont="1"/>
    <xf numFmtId="9" fontId="0" fillId="10" borderId="0" xfId="0" applyNumberFormat="1" applyFill="1"/>
    <xf numFmtId="10" fontId="1" fillId="9" borderId="0" xfId="0" applyNumberFormat="1" applyFont="1" applyFill="1"/>
    <xf numFmtId="0" fontId="10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1F9900"/>
      <color rgb="FFFFFFFF"/>
      <color rgb="FF76B900"/>
      <color rgb="FF68D64F"/>
      <color rgb="FFDBFFD9"/>
      <color rgb="FFB9FF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595312</xdr:colOff>
      <xdr:row>0</xdr:row>
      <xdr:rowOff>-4762</xdr:rowOff>
    </xdr:from>
    <xdr:to>
      <xdr:col>4</xdr:col>
      <xdr:colOff>347662</xdr:colOff>
      <xdr:row>6</xdr:row>
      <xdr:rowOff>14288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8EEED9FE-D6E0-11DD-2935-CF63BE5A3298}"/>
            </a:ext>
          </a:extLst>
        </xdr:cNvPr>
        <xdr:cNvSpPr/>
      </xdr:nvSpPr>
      <xdr:spPr>
        <a:xfrm rot="5369443">
          <a:off x="2162175" y="-352425"/>
          <a:ext cx="2438400" cy="3133725"/>
        </a:xfrm>
        <a:prstGeom prst="rtTriangle">
          <a:avLst/>
        </a:prstGeom>
        <a:solidFill>
          <a:srgbClr val="76B9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590550</xdr:colOff>
      <xdr:row>0</xdr:row>
      <xdr:rowOff>9525</xdr:rowOff>
    </xdr:from>
    <xdr:to>
      <xdr:col>2</xdr:col>
      <xdr:colOff>323850</xdr:colOff>
      <xdr:row>3</xdr:row>
      <xdr:rowOff>314325</xdr:rowOff>
    </xdr:to>
    <xdr:sp macro="" textlink="">
      <xdr:nvSpPr>
        <xdr:cNvPr id="3" name="Half Frame 2">
          <a:extLst>
            <a:ext uri="{FF2B5EF4-FFF2-40B4-BE49-F238E27FC236}">
              <a16:creationId xmlns:a16="http://schemas.microsoft.com/office/drawing/2014/main" id="{00117CED-9630-A023-227C-191AB94552E2}"/>
            </a:ext>
            <a:ext uri="{147F2762-F138-4A5C-976F-8EAC2B608ADB}">
              <a16:predDERef xmlns:a16="http://schemas.microsoft.com/office/drawing/2014/main" pred="{8EEED9FE-D6E0-11DD-2935-CF63BE5A3298}"/>
            </a:ext>
          </a:extLst>
        </xdr:cNvPr>
        <xdr:cNvSpPr/>
      </xdr:nvSpPr>
      <xdr:spPr>
        <a:xfrm>
          <a:off x="1809750" y="9525"/>
          <a:ext cx="952500" cy="952500"/>
        </a:xfrm>
        <a:prstGeom prst="halfFrame">
          <a:avLst/>
        </a:prstGeom>
        <a:solidFill>
          <a:srgbClr val="1F99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266700</xdr:colOff>
      <xdr:row>5</xdr:row>
      <xdr:rowOff>504825</xdr:rowOff>
    </xdr:from>
    <xdr:to>
      <xdr:col>9</xdr:col>
      <xdr:colOff>409575</xdr:colOff>
      <xdr:row>13</xdr:row>
      <xdr:rowOff>142875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1D6BF167-4322-46AE-98CC-E40F642D9CCD}"/>
            </a:ext>
            <a:ext uri="{147F2762-F138-4A5C-976F-8EAC2B608ADB}">
              <a16:predDERef xmlns:a16="http://schemas.microsoft.com/office/drawing/2014/main" pred="{00117CED-9630-A023-227C-191AB94552E2}"/>
            </a:ext>
          </a:extLst>
        </xdr:cNvPr>
        <xdr:cNvSpPr/>
      </xdr:nvSpPr>
      <xdr:spPr>
        <a:xfrm rot="16200000">
          <a:off x="4129088" y="2014537"/>
          <a:ext cx="2457450" cy="3095625"/>
        </a:xfrm>
        <a:prstGeom prst="rtTriangle">
          <a:avLst/>
        </a:prstGeom>
        <a:solidFill>
          <a:srgbClr val="76B9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66675</xdr:colOff>
      <xdr:row>9</xdr:row>
      <xdr:rowOff>19050</xdr:rowOff>
    </xdr:from>
    <xdr:to>
      <xdr:col>9</xdr:col>
      <xdr:colOff>409575</xdr:colOff>
      <xdr:row>13</xdr:row>
      <xdr:rowOff>133350</xdr:rowOff>
    </xdr:to>
    <xdr:sp macro="" textlink="">
      <xdr:nvSpPr>
        <xdr:cNvPr id="5" name="Half Frame 4">
          <a:extLst>
            <a:ext uri="{FF2B5EF4-FFF2-40B4-BE49-F238E27FC236}">
              <a16:creationId xmlns:a16="http://schemas.microsoft.com/office/drawing/2014/main" id="{75D72E8D-D7A5-4AE7-81B7-DCFCBFDDC4AD}"/>
            </a:ext>
            <a:ext uri="{147F2762-F138-4A5C-976F-8EAC2B608ADB}">
              <a16:predDERef xmlns:a16="http://schemas.microsoft.com/office/drawing/2014/main" pred="{1D6BF167-4322-46AE-98CC-E40F642D9CCD}"/>
            </a:ext>
          </a:extLst>
        </xdr:cNvPr>
        <xdr:cNvSpPr/>
      </xdr:nvSpPr>
      <xdr:spPr>
        <a:xfrm rot="10800000">
          <a:off x="5819775" y="3829050"/>
          <a:ext cx="1085850" cy="952500"/>
        </a:xfrm>
        <a:prstGeom prst="halfFrame">
          <a:avLst/>
        </a:prstGeom>
        <a:solidFill>
          <a:srgbClr val="1F99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161925</xdr:colOff>
      <xdr:row>0</xdr:row>
      <xdr:rowOff>152400</xdr:rowOff>
    </xdr:from>
    <xdr:to>
      <xdr:col>6</xdr:col>
      <xdr:colOff>666750</xdr:colOff>
      <xdr:row>4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2D4D8F-FD19-D6B2-3354-49E485E001CE}"/>
            </a:ext>
            <a:ext uri="{147F2762-F138-4A5C-976F-8EAC2B608ADB}">
              <a16:predDERef xmlns:a16="http://schemas.microsoft.com/office/drawing/2014/main" pred="{75D72E8D-D7A5-4AE7-81B7-DCFCBFDDC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1333" t="9957" r="23030" b="12554"/>
        <a:stretch>
          <a:fillRect/>
        </a:stretch>
      </xdr:blipFill>
      <xdr:spPr>
        <a:xfrm>
          <a:off x="2971800" y="152400"/>
          <a:ext cx="1971675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EAAB-ACD5-493E-9363-90E5DB3952A8}">
  <dimension ref="A1:R24"/>
  <sheetViews>
    <sheetView showGridLines="0" workbookViewId="0">
      <selection activeCell="L7" sqref="L7"/>
    </sheetView>
  </sheetViews>
  <sheetFormatPr defaultRowHeight="15"/>
  <cols>
    <col min="2" max="6" width="11" customWidth="1"/>
    <col min="7" max="7" width="11" style="6" customWidth="1"/>
    <col min="8" max="10" width="11.140625" customWidth="1"/>
  </cols>
  <sheetData>
    <row r="1" spans="1:18" ht="21">
      <c r="A1" s="153"/>
      <c r="B1" s="33"/>
      <c r="C1" s="33"/>
      <c r="D1" s="33"/>
      <c r="E1" s="33"/>
      <c r="F1" s="33"/>
      <c r="G1" s="149"/>
      <c r="H1" s="33"/>
      <c r="I1" s="33"/>
      <c r="J1" s="33"/>
      <c r="K1" s="34"/>
      <c r="L1" s="34"/>
      <c r="M1" s="34"/>
      <c r="N1" s="34"/>
      <c r="O1" s="34"/>
      <c r="P1" s="34"/>
      <c r="Q1" s="34"/>
      <c r="R1" s="34"/>
    </row>
    <row r="2" spans="1:18">
      <c r="A2" s="34"/>
      <c r="B2" s="33"/>
      <c r="C2" s="33"/>
      <c r="D2" s="33"/>
      <c r="E2" s="33"/>
      <c r="F2" s="33"/>
      <c r="G2" s="149"/>
      <c r="H2" s="33"/>
      <c r="I2" s="33"/>
      <c r="J2" s="33"/>
      <c r="K2" s="34"/>
      <c r="L2" s="34"/>
      <c r="M2" s="34"/>
      <c r="N2" s="34"/>
      <c r="O2" s="34"/>
      <c r="P2" s="34"/>
      <c r="Q2" s="34"/>
      <c r="R2" s="34"/>
    </row>
    <row r="3" spans="1:18">
      <c r="A3" s="34"/>
      <c r="B3" s="33"/>
      <c r="C3" s="33"/>
      <c r="D3" s="33"/>
      <c r="E3" s="33"/>
      <c r="F3" s="33"/>
      <c r="G3" s="149"/>
      <c r="H3" s="33"/>
      <c r="I3" s="33"/>
      <c r="J3" s="33"/>
      <c r="K3" s="34"/>
      <c r="L3" s="34"/>
      <c r="M3" s="34"/>
      <c r="N3" s="34"/>
      <c r="O3" s="34"/>
      <c r="P3" s="34"/>
      <c r="Q3" s="34"/>
      <c r="R3" s="34"/>
    </row>
    <row r="4" spans="1:18" ht="46.5">
      <c r="A4" s="34"/>
      <c r="B4" s="33"/>
      <c r="C4" s="147"/>
      <c r="D4" s="33"/>
      <c r="E4" s="33"/>
      <c r="F4" s="33"/>
      <c r="G4" s="149"/>
      <c r="H4" s="33"/>
      <c r="I4" s="33"/>
      <c r="J4" s="33"/>
      <c r="K4" s="34"/>
      <c r="L4" s="34"/>
      <c r="M4" s="34"/>
      <c r="N4" s="34"/>
      <c r="O4" s="34"/>
      <c r="P4" s="34"/>
      <c r="Q4" s="34"/>
      <c r="R4" s="34"/>
    </row>
    <row r="5" spans="1:18" ht="46.5">
      <c r="A5" s="34"/>
      <c r="B5" s="33"/>
      <c r="C5" s="147"/>
      <c r="D5" s="33"/>
      <c r="E5" s="33"/>
      <c r="F5" s="33"/>
      <c r="G5" s="149"/>
      <c r="H5" s="33"/>
      <c r="I5" s="33"/>
      <c r="J5" s="33"/>
      <c r="K5" s="34"/>
      <c r="L5" s="34"/>
      <c r="M5" s="34"/>
      <c r="N5" s="34"/>
      <c r="O5" s="34"/>
      <c r="P5" s="34"/>
      <c r="Q5" s="34"/>
      <c r="R5" s="34"/>
    </row>
    <row r="6" spans="1:18" ht="46.5">
      <c r="A6" s="34"/>
      <c r="B6" s="33"/>
      <c r="C6" s="154" t="s">
        <v>0</v>
      </c>
      <c r="D6" s="155"/>
      <c r="E6" s="33"/>
      <c r="F6" s="33"/>
      <c r="G6" s="149"/>
      <c r="H6" s="33"/>
      <c r="I6" s="33"/>
      <c r="J6" s="33"/>
      <c r="K6" s="34"/>
      <c r="L6" s="34"/>
      <c r="M6" s="34"/>
      <c r="N6" s="34"/>
      <c r="O6" s="34"/>
      <c r="P6" s="34"/>
      <c r="Q6" s="34"/>
      <c r="R6" s="34"/>
    </row>
    <row r="7" spans="1:18" ht="46.5">
      <c r="A7" s="34"/>
      <c r="B7" s="33"/>
      <c r="C7" s="154" t="s">
        <v>1</v>
      </c>
      <c r="D7" s="155"/>
      <c r="E7" s="33"/>
      <c r="F7" s="33"/>
      <c r="G7" s="152"/>
      <c r="H7" s="33"/>
      <c r="I7" s="33"/>
      <c r="J7" s="33"/>
      <c r="K7" s="34"/>
      <c r="L7" s="34"/>
      <c r="M7" s="34"/>
      <c r="N7" s="34"/>
      <c r="O7" s="34"/>
      <c r="P7" s="34"/>
      <c r="Q7" s="34"/>
      <c r="R7" s="34"/>
    </row>
    <row r="8" spans="1:18" ht="46.5">
      <c r="A8" s="34"/>
      <c r="B8" s="33"/>
      <c r="C8" s="154" t="s">
        <v>2</v>
      </c>
      <c r="D8" s="155"/>
      <c r="E8" s="33"/>
      <c r="F8" s="34"/>
      <c r="G8" s="149"/>
      <c r="H8" s="33"/>
      <c r="I8" s="33"/>
      <c r="J8" s="33"/>
      <c r="K8" s="34"/>
      <c r="L8" s="34"/>
      <c r="M8" s="34"/>
      <c r="N8" s="34"/>
      <c r="O8" s="34"/>
      <c r="P8" s="34"/>
      <c r="Q8" s="34"/>
      <c r="R8" s="34"/>
    </row>
    <row r="9" spans="1:18" ht="16.5" customHeight="1">
      <c r="A9" s="34"/>
      <c r="B9" s="33"/>
      <c r="C9" s="33"/>
      <c r="D9" s="33"/>
      <c r="E9" s="33"/>
      <c r="F9" s="13" t="s">
        <v>3</v>
      </c>
      <c r="G9" s="151"/>
      <c r="H9" s="33"/>
      <c r="I9" s="33"/>
      <c r="J9" s="33"/>
      <c r="K9" s="34"/>
      <c r="L9" s="34"/>
      <c r="M9" s="34"/>
      <c r="N9" s="34"/>
      <c r="O9" s="34"/>
      <c r="P9" s="34"/>
      <c r="Q9" s="34"/>
      <c r="R9" s="34"/>
    </row>
    <row r="10" spans="1:18">
      <c r="A10" s="34"/>
      <c r="B10" s="33"/>
      <c r="C10" s="33"/>
      <c r="D10" s="33"/>
      <c r="E10" s="33"/>
      <c r="F10" s="33"/>
      <c r="G10" s="149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</row>
    <row r="11" spans="1:18" ht="21">
      <c r="A11" s="34"/>
      <c r="B11" s="33"/>
      <c r="C11" s="33"/>
      <c r="D11" s="33"/>
      <c r="E11" s="33"/>
      <c r="F11" s="33"/>
      <c r="G11" s="149"/>
      <c r="H11" s="148"/>
      <c r="I11" s="33"/>
      <c r="J11" s="33"/>
      <c r="K11" s="34"/>
      <c r="L11" s="34"/>
      <c r="M11" s="34"/>
      <c r="N11" s="34"/>
      <c r="O11" s="34"/>
      <c r="P11" s="34"/>
      <c r="Q11" s="34"/>
      <c r="R11" s="34"/>
    </row>
    <row r="12" spans="1:18">
      <c r="A12" s="34"/>
      <c r="B12" s="33"/>
      <c r="C12" s="33"/>
      <c r="D12" s="33"/>
      <c r="E12" s="33"/>
      <c r="F12" s="33"/>
      <c r="G12" s="149"/>
      <c r="H12" s="33"/>
      <c r="I12" s="33"/>
      <c r="J12" s="33"/>
      <c r="K12" s="34"/>
      <c r="L12" s="34"/>
      <c r="M12" s="34"/>
      <c r="N12" s="34"/>
      <c r="O12" s="34"/>
      <c r="P12" s="34"/>
      <c r="Q12" s="34"/>
      <c r="R12" s="34"/>
    </row>
    <row r="13" spans="1:18">
      <c r="A13" s="34"/>
      <c r="B13" s="33"/>
      <c r="C13" s="33"/>
      <c r="D13" s="33"/>
      <c r="E13" s="33"/>
      <c r="F13" s="33"/>
      <c r="G13" s="149"/>
      <c r="H13" s="33"/>
      <c r="I13" s="33"/>
      <c r="J13" s="33"/>
      <c r="K13" s="34"/>
      <c r="L13" s="34"/>
      <c r="M13" s="34"/>
      <c r="N13" s="34"/>
      <c r="O13" s="34"/>
      <c r="P13" s="34"/>
      <c r="Q13" s="34"/>
      <c r="R13" s="34"/>
    </row>
    <row r="14" spans="1:18">
      <c r="A14" s="34"/>
      <c r="B14" s="33"/>
      <c r="C14" s="33"/>
      <c r="D14" s="33"/>
      <c r="E14" s="33"/>
      <c r="F14" s="33"/>
      <c r="G14" s="149"/>
      <c r="H14" s="33"/>
      <c r="I14" s="33"/>
      <c r="J14" s="33"/>
      <c r="K14" s="34"/>
      <c r="L14" s="34"/>
      <c r="M14" s="34"/>
      <c r="N14" s="34"/>
      <c r="O14" s="34"/>
      <c r="P14" s="34"/>
      <c r="Q14" s="34"/>
      <c r="R14" s="34"/>
    </row>
    <row r="15" spans="1:18">
      <c r="A15" s="34"/>
      <c r="B15" s="33"/>
      <c r="C15" s="33"/>
      <c r="D15" s="33"/>
      <c r="E15" s="33"/>
      <c r="F15" s="33"/>
      <c r="G15" s="149"/>
      <c r="H15" s="33"/>
      <c r="I15" s="33"/>
      <c r="J15" s="33"/>
      <c r="K15" s="34"/>
      <c r="L15" s="34"/>
      <c r="M15" s="34"/>
      <c r="N15" s="34"/>
      <c r="O15" s="34"/>
      <c r="P15" s="34"/>
      <c r="Q15" s="34"/>
      <c r="R15" s="34"/>
    </row>
    <row r="16" spans="1:18">
      <c r="A16" s="34"/>
      <c r="B16" s="33"/>
      <c r="C16" s="33"/>
      <c r="D16" s="33"/>
      <c r="E16" s="33"/>
      <c r="F16" s="33"/>
      <c r="G16" s="149"/>
      <c r="H16" s="33"/>
      <c r="I16" s="33"/>
      <c r="J16" s="33"/>
      <c r="K16" s="34"/>
      <c r="L16" s="34"/>
      <c r="M16" s="34"/>
      <c r="N16" s="34"/>
      <c r="O16" s="34"/>
      <c r="P16" s="34"/>
      <c r="Q16" s="34"/>
      <c r="R16" s="34"/>
    </row>
    <row r="17" spans="1:18">
      <c r="A17" s="34"/>
      <c r="B17" s="33"/>
      <c r="C17" s="33"/>
      <c r="D17" s="33"/>
      <c r="E17" s="33"/>
      <c r="F17" s="33"/>
      <c r="G17" s="149"/>
      <c r="H17" s="33"/>
      <c r="I17" s="33"/>
      <c r="J17" s="33"/>
      <c r="K17" s="34"/>
      <c r="L17" s="34"/>
      <c r="M17" s="34"/>
      <c r="N17" s="34"/>
      <c r="O17" s="34"/>
      <c r="P17" s="34"/>
      <c r="Q17" s="34"/>
      <c r="R17" s="34"/>
    </row>
    <row r="18" spans="1:18">
      <c r="A18" s="34"/>
      <c r="B18" s="33"/>
      <c r="C18" s="33"/>
      <c r="D18" s="33"/>
      <c r="E18" s="33"/>
      <c r="F18" s="33"/>
      <c r="G18" s="149"/>
      <c r="H18" s="33"/>
      <c r="I18" s="33"/>
      <c r="J18" s="33"/>
      <c r="K18" s="34"/>
      <c r="L18" s="34"/>
      <c r="M18" s="34"/>
      <c r="N18" s="34"/>
      <c r="O18" s="34"/>
      <c r="P18" s="34"/>
      <c r="Q18" s="34"/>
      <c r="R18" s="34"/>
    </row>
    <row r="19" spans="1:18">
      <c r="A19" s="34"/>
      <c r="B19" s="33"/>
      <c r="C19" s="33"/>
      <c r="D19" s="33"/>
      <c r="E19" s="33"/>
      <c r="F19" s="33"/>
      <c r="G19" s="149"/>
      <c r="H19" s="33"/>
      <c r="I19" s="33"/>
      <c r="J19" s="33"/>
      <c r="K19" s="34"/>
      <c r="L19" s="34"/>
      <c r="M19" s="34"/>
      <c r="N19" s="34"/>
      <c r="O19" s="34"/>
      <c r="P19" s="34"/>
      <c r="Q19" s="34"/>
      <c r="R19" s="34"/>
    </row>
    <row r="20" spans="1:18">
      <c r="A20" s="34"/>
      <c r="B20" s="34"/>
      <c r="C20" s="34"/>
      <c r="D20" s="34"/>
      <c r="E20" s="34"/>
      <c r="F20" s="34"/>
      <c r="G20" s="150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>
      <c r="A21" s="34"/>
      <c r="B21" s="34"/>
      <c r="C21" s="34"/>
      <c r="D21" s="34"/>
      <c r="E21" s="34"/>
      <c r="F21" s="34"/>
      <c r="G21" s="150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>
      <c r="A22" s="34"/>
      <c r="B22" s="34"/>
      <c r="C22" s="34"/>
      <c r="D22" s="34"/>
      <c r="E22" s="34"/>
      <c r="F22" s="34"/>
      <c r="G22" s="150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>
      <c r="A23" s="34"/>
      <c r="B23" s="34"/>
      <c r="C23" s="34"/>
      <c r="D23" s="34"/>
      <c r="E23" s="34"/>
      <c r="F23" s="34"/>
      <c r="G23" s="150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>
      <c r="A24" s="34"/>
      <c r="B24" s="34"/>
      <c r="C24" s="34"/>
      <c r="D24" s="34"/>
      <c r="E24" s="34"/>
      <c r="F24" s="34"/>
      <c r="G24" s="150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</sheetData>
  <printOptions horizontalCentere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58"/>
  <sheetViews>
    <sheetView workbookViewId="0">
      <selection activeCell="C29" sqref="C29"/>
    </sheetView>
  </sheetViews>
  <sheetFormatPr defaultRowHeight="15"/>
  <cols>
    <col min="1" max="1" width="1.140625" customWidth="1"/>
    <col min="2" max="2" width="36.5703125" bestFit="1" customWidth="1"/>
    <col min="3" max="3" width="2.140625" customWidth="1"/>
    <col min="4" max="13" width="13.7109375" customWidth="1"/>
  </cols>
  <sheetData>
    <row r="1" spans="2:13" ht="6" customHeight="1"/>
    <row r="2" spans="2:13" ht="21">
      <c r="B2" s="44" t="s">
        <v>4</v>
      </c>
    </row>
    <row r="3" spans="2:13">
      <c r="B3" t="s">
        <v>5</v>
      </c>
    </row>
    <row r="6" spans="2:13">
      <c r="B6" s="41" t="s">
        <v>6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2:13">
      <c r="B7" s="2" t="s">
        <v>7</v>
      </c>
      <c r="C7" s="3"/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</row>
    <row r="9" spans="2:13">
      <c r="B9" s="1" t="s">
        <v>18</v>
      </c>
      <c r="D9" s="8">
        <v>130497</v>
      </c>
      <c r="E9" s="8">
        <v>60922</v>
      </c>
      <c r="F9" s="8">
        <v>26974</v>
      </c>
      <c r="G9" s="8">
        <v>26914</v>
      </c>
      <c r="H9" s="8">
        <v>16675</v>
      </c>
      <c r="I9" s="8">
        <v>10918</v>
      </c>
      <c r="J9" s="8">
        <v>11716</v>
      </c>
      <c r="K9" s="8">
        <v>9714</v>
      </c>
      <c r="L9" s="8">
        <v>6910</v>
      </c>
      <c r="M9" s="8">
        <v>5010</v>
      </c>
    </row>
    <row r="10" spans="2:13">
      <c r="B10" s="1"/>
      <c r="D10" s="17">
        <f>(D9-E9)/E9</f>
        <v>1.1420340763599357</v>
      </c>
      <c r="E10" s="17">
        <f t="shared" ref="E10:M10" si="0">(E9-F9)/F9</f>
        <v>1.2585452658115222</v>
      </c>
      <c r="F10" s="17">
        <f t="shared" si="0"/>
        <v>2.2293230289068887E-3</v>
      </c>
      <c r="G10" s="17">
        <f t="shared" si="0"/>
        <v>0.61403298350824587</v>
      </c>
      <c r="H10" s="17">
        <f t="shared" si="0"/>
        <v>0.52729437625938813</v>
      </c>
      <c r="I10" s="17">
        <f t="shared" si="0"/>
        <v>-6.8111983612154314E-2</v>
      </c>
      <c r="J10" s="17">
        <f t="shared" si="0"/>
        <v>0.20609429689108502</v>
      </c>
      <c r="K10" s="17">
        <f t="shared" si="0"/>
        <v>0.4057887120115774</v>
      </c>
      <c r="L10" s="17">
        <f t="shared" si="0"/>
        <v>0.37924151696606784</v>
      </c>
      <c r="M10" s="17" t="s">
        <v>19</v>
      </c>
    </row>
    <row r="11" spans="2:13">
      <c r="B11" s="1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2:13">
      <c r="B12" t="s">
        <v>20</v>
      </c>
      <c r="D12" s="8">
        <v>32639</v>
      </c>
      <c r="E12" s="8">
        <v>16621</v>
      </c>
      <c r="F12" s="8">
        <v>11618</v>
      </c>
      <c r="G12" s="8">
        <v>9439</v>
      </c>
      <c r="H12" s="8">
        <v>6279</v>
      </c>
      <c r="I12" s="8">
        <v>4150</v>
      </c>
      <c r="J12" s="8">
        <v>4545</v>
      </c>
      <c r="K12" s="8">
        <v>3892</v>
      </c>
      <c r="L12" s="8">
        <v>2847</v>
      </c>
      <c r="M12" s="8">
        <v>2199</v>
      </c>
    </row>
    <row r="13" spans="2:13">
      <c r="D13" s="17">
        <f>(D12-E12)/E12</f>
        <v>0.9637205944287347</v>
      </c>
      <c r="E13" s="17">
        <f t="shared" ref="E13:M13" si="1">(E12-F12)/F12</f>
        <v>0.43062489240833191</v>
      </c>
      <c r="F13" s="17">
        <f t="shared" si="1"/>
        <v>0.23085072571246953</v>
      </c>
      <c r="G13" s="17">
        <f t="shared" si="1"/>
        <v>0.50326485109093799</v>
      </c>
      <c r="H13" s="17">
        <f t="shared" si="1"/>
        <v>0.51301204819277113</v>
      </c>
      <c r="I13" s="17">
        <f t="shared" si="1"/>
        <v>-8.690869086908691E-2</v>
      </c>
      <c r="J13" s="17">
        <f t="shared" si="1"/>
        <v>0.16778006166495374</v>
      </c>
      <c r="K13" s="17">
        <f t="shared" si="1"/>
        <v>0.36705303828591501</v>
      </c>
      <c r="L13" s="17">
        <f t="shared" si="1"/>
        <v>0.29467939972714868</v>
      </c>
      <c r="M13" s="156" t="s">
        <v>19</v>
      </c>
    </row>
    <row r="14" spans="2:13"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2:13">
      <c r="B15" s="145" t="s">
        <v>21</v>
      </c>
      <c r="C15" s="35"/>
      <c r="D15" s="9">
        <f>D9-D12</f>
        <v>97858</v>
      </c>
      <c r="E15" s="9">
        <f t="shared" ref="E15:M15" si="2">E9-E12</f>
        <v>44301</v>
      </c>
      <c r="F15" s="9">
        <f t="shared" si="2"/>
        <v>15356</v>
      </c>
      <c r="G15" s="9">
        <f t="shared" si="2"/>
        <v>17475</v>
      </c>
      <c r="H15" s="9">
        <f t="shared" si="2"/>
        <v>10396</v>
      </c>
      <c r="I15" s="9">
        <f t="shared" si="2"/>
        <v>6768</v>
      </c>
      <c r="J15" s="9">
        <f t="shared" si="2"/>
        <v>7171</v>
      </c>
      <c r="K15" s="9">
        <f t="shared" si="2"/>
        <v>5822</v>
      </c>
      <c r="L15" s="9">
        <f t="shared" si="2"/>
        <v>4063</v>
      </c>
      <c r="M15" s="9">
        <f>M9-M12</f>
        <v>2811</v>
      </c>
    </row>
    <row r="16" spans="2:13">
      <c r="B16" s="5" t="s">
        <v>22</v>
      </c>
      <c r="D16" s="17">
        <f>D15/D9</f>
        <v>0.74988697058169917</v>
      </c>
      <c r="E16" s="17">
        <f t="shared" ref="E16:M16" si="3">E15/E9</f>
        <v>0.72717573290436954</v>
      </c>
      <c r="F16" s="17">
        <f t="shared" si="3"/>
        <v>0.56928894490991322</v>
      </c>
      <c r="G16" s="17">
        <f t="shared" si="3"/>
        <v>0.64929033216913135</v>
      </c>
      <c r="H16" s="17">
        <f t="shared" si="3"/>
        <v>0.62344827586206897</v>
      </c>
      <c r="I16" s="17">
        <f t="shared" si="3"/>
        <v>0.61989375343469499</v>
      </c>
      <c r="J16" s="17">
        <f t="shared" si="3"/>
        <v>0.61206896551724133</v>
      </c>
      <c r="K16" s="17">
        <f t="shared" si="3"/>
        <v>0.59934115709285563</v>
      </c>
      <c r="L16" s="17">
        <f t="shared" si="3"/>
        <v>0.58798842257597683</v>
      </c>
      <c r="M16" s="156" t="s">
        <v>19</v>
      </c>
    </row>
    <row r="17" spans="2:13"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2:13">
      <c r="B18" t="s">
        <v>23</v>
      </c>
      <c r="D18" s="8">
        <v>12914</v>
      </c>
      <c r="E18" s="8">
        <v>8675</v>
      </c>
      <c r="F18" s="8">
        <v>7339</v>
      </c>
      <c r="G18" s="8">
        <v>5268</v>
      </c>
      <c r="H18" s="8">
        <v>3924</v>
      </c>
      <c r="I18" s="8">
        <v>2829</v>
      </c>
      <c r="J18" s="8">
        <v>2376</v>
      </c>
      <c r="K18" s="8">
        <v>1797</v>
      </c>
      <c r="L18" s="8">
        <v>1463</v>
      </c>
      <c r="M18" s="8">
        <v>1331</v>
      </c>
    </row>
    <row r="19" spans="2:13">
      <c r="D19" s="17">
        <f>(D18-E18)/E18</f>
        <v>0.4886455331412104</v>
      </c>
      <c r="E19" s="17">
        <f t="shared" ref="E19:M19" si="4">(E18-F18)/F18</f>
        <v>0.18204115002043875</v>
      </c>
      <c r="F19" s="17">
        <f t="shared" si="4"/>
        <v>0.3931283219438117</v>
      </c>
      <c r="G19" s="17">
        <f t="shared" si="4"/>
        <v>0.34250764525993882</v>
      </c>
      <c r="H19" s="17">
        <f t="shared" si="4"/>
        <v>0.38706256627783669</v>
      </c>
      <c r="I19" s="17">
        <f t="shared" si="4"/>
        <v>0.19065656565656566</v>
      </c>
      <c r="J19" s="17">
        <f t="shared" si="4"/>
        <v>0.32220367278797996</v>
      </c>
      <c r="K19" s="17">
        <f t="shared" si="4"/>
        <v>0.22829801777170197</v>
      </c>
      <c r="L19" s="17">
        <f t="shared" si="4"/>
        <v>9.9173553719008267E-2</v>
      </c>
      <c r="M19" s="156" t="s">
        <v>19</v>
      </c>
    </row>
    <row r="20" spans="2:13"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2:13">
      <c r="B21" t="s">
        <v>24</v>
      </c>
      <c r="D21" s="8">
        <v>3491</v>
      </c>
      <c r="E21" s="8">
        <v>2654</v>
      </c>
      <c r="F21" s="8">
        <v>2440</v>
      </c>
      <c r="G21" s="8">
        <v>2166</v>
      </c>
      <c r="H21" s="8">
        <v>1940</v>
      </c>
      <c r="I21" s="8">
        <v>1093</v>
      </c>
      <c r="J21" s="8">
        <v>991</v>
      </c>
      <c r="K21" s="8">
        <v>815</v>
      </c>
      <c r="L21" s="8">
        <v>663</v>
      </c>
      <c r="M21" s="8">
        <v>602</v>
      </c>
    </row>
    <row r="22" spans="2:13">
      <c r="D22" s="17">
        <f>(D21-E21)/E21</f>
        <v>0.31537302185380556</v>
      </c>
      <c r="E22" s="17">
        <f>(E21-F21)/F21</f>
        <v>8.7704918032786891E-2</v>
      </c>
      <c r="F22" s="17">
        <f t="shared" ref="F22:M22" si="5">(F21-G21)/G21</f>
        <v>0.1265004616805171</v>
      </c>
      <c r="G22" s="17">
        <f t="shared" si="5"/>
        <v>0.11649484536082474</v>
      </c>
      <c r="H22" s="17">
        <f t="shared" si="5"/>
        <v>0.77493138151875574</v>
      </c>
      <c r="I22" s="17">
        <f t="shared" si="5"/>
        <v>0.1029263370332997</v>
      </c>
      <c r="J22" s="17">
        <f t="shared" si="5"/>
        <v>0.21595092024539878</v>
      </c>
      <c r="K22" s="17">
        <f t="shared" si="5"/>
        <v>0.22926093514328807</v>
      </c>
      <c r="L22" s="17">
        <f t="shared" si="5"/>
        <v>0.10132890365448505</v>
      </c>
      <c r="M22" s="156" t="s">
        <v>19</v>
      </c>
    </row>
    <row r="23" spans="2:13"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2:13">
      <c r="B24" t="s">
        <v>25</v>
      </c>
      <c r="D24" s="8">
        <f>D18+D21</f>
        <v>16405</v>
      </c>
      <c r="E24" s="8">
        <f t="shared" ref="E24:M24" si="6">E18+E21</f>
        <v>11329</v>
      </c>
      <c r="F24" s="8">
        <f t="shared" si="6"/>
        <v>9779</v>
      </c>
      <c r="G24" s="8">
        <f t="shared" si="6"/>
        <v>7434</v>
      </c>
      <c r="H24" s="8">
        <f t="shared" si="6"/>
        <v>5864</v>
      </c>
      <c r="I24" s="8">
        <f t="shared" si="6"/>
        <v>3922</v>
      </c>
      <c r="J24" s="8">
        <f>J18+J21</f>
        <v>3367</v>
      </c>
      <c r="K24" s="8">
        <f t="shared" si="6"/>
        <v>2612</v>
      </c>
      <c r="L24" s="8">
        <f t="shared" si="6"/>
        <v>2126</v>
      </c>
      <c r="M24" s="8">
        <f t="shared" si="6"/>
        <v>1933</v>
      </c>
    </row>
    <row r="25" spans="2:13">
      <c r="D25" s="17">
        <f>(D24-E24)/E24</f>
        <v>0.44805366757878012</v>
      </c>
      <c r="E25" s="17">
        <f t="shared" ref="E25:M25" si="7">(E24-F24)/F24</f>
        <v>0.15850291440842623</v>
      </c>
      <c r="F25" s="17">
        <f t="shared" si="7"/>
        <v>0.31544256120527309</v>
      </c>
      <c r="G25" s="17">
        <f t="shared" si="7"/>
        <v>0.26773533424283763</v>
      </c>
      <c r="H25" s="17">
        <f t="shared" si="7"/>
        <v>0.49515553289138192</v>
      </c>
      <c r="I25" s="17">
        <f t="shared" si="7"/>
        <v>0.16483516483516483</v>
      </c>
      <c r="J25" s="17">
        <f t="shared" si="7"/>
        <v>0.28905053598774882</v>
      </c>
      <c r="K25" s="17">
        <f t="shared" si="7"/>
        <v>0.22859830667920977</v>
      </c>
      <c r="L25" s="17">
        <f t="shared" si="7"/>
        <v>9.9844800827728925E-2</v>
      </c>
      <c r="M25" s="156" t="s">
        <v>19</v>
      </c>
    </row>
    <row r="26" spans="2:13"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2:13">
      <c r="B27" s="1" t="s">
        <v>26</v>
      </c>
      <c r="D27" s="8">
        <f>D15-D24</f>
        <v>81453</v>
      </c>
      <c r="E27" s="8">
        <f>E15-E24</f>
        <v>32972</v>
      </c>
      <c r="F27" s="8">
        <f t="shared" ref="F27:M27" si="8">F15-F24</f>
        <v>5577</v>
      </c>
      <c r="G27" s="8">
        <f t="shared" si="8"/>
        <v>10041</v>
      </c>
      <c r="H27" s="8">
        <f t="shared" si="8"/>
        <v>4532</v>
      </c>
      <c r="I27" s="8">
        <f t="shared" si="8"/>
        <v>2846</v>
      </c>
      <c r="J27" s="8">
        <f t="shared" si="8"/>
        <v>3804</v>
      </c>
      <c r="K27" s="8">
        <f t="shared" si="8"/>
        <v>3210</v>
      </c>
      <c r="L27" s="8">
        <f t="shared" si="8"/>
        <v>1937</v>
      </c>
      <c r="M27" s="8">
        <f t="shared" si="8"/>
        <v>878</v>
      </c>
    </row>
    <row r="28" spans="2:13">
      <c r="B28" s="7" t="s">
        <v>27</v>
      </c>
      <c r="D28" s="17">
        <f>D27/D9</f>
        <v>0.62417526839697468</v>
      </c>
      <c r="E28" s="17">
        <f t="shared" ref="E28:M28" si="9">E27/E9</f>
        <v>0.54121663766783756</v>
      </c>
      <c r="F28" s="17">
        <f t="shared" si="9"/>
        <v>0.20675465262845702</v>
      </c>
      <c r="G28" s="17">
        <f t="shared" si="9"/>
        <v>0.37307720888756779</v>
      </c>
      <c r="H28" s="17">
        <f t="shared" si="9"/>
        <v>0.27178410794602698</v>
      </c>
      <c r="I28" s="17">
        <f t="shared" si="9"/>
        <v>0.2606704524638212</v>
      </c>
      <c r="J28" s="17">
        <f t="shared" si="9"/>
        <v>0.32468419255718678</v>
      </c>
      <c r="K28" s="17">
        <f t="shared" si="9"/>
        <v>0.33045089561457691</v>
      </c>
      <c r="L28" s="17">
        <f t="shared" si="9"/>
        <v>0.28031837916063673</v>
      </c>
      <c r="M28" s="156" t="s">
        <v>19</v>
      </c>
    </row>
    <row r="29" spans="2:13"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2:13">
      <c r="B30" t="s">
        <v>28</v>
      </c>
      <c r="D30" s="8">
        <v>-2573</v>
      </c>
      <c r="E30" s="8">
        <v>-846</v>
      </c>
      <c r="F30" s="8">
        <v>-43</v>
      </c>
      <c r="G30" s="8">
        <v>-100</v>
      </c>
      <c r="H30" s="8">
        <v>-123</v>
      </c>
      <c r="I30" s="8">
        <v>-124</v>
      </c>
      <c r="J30" s="8">
        <v>-92</v>
      </c>
      <c r="K30" s="8">
        <v>-14</v>
      </c>
      <c r="L30" s="8">
        <v>-29</v>
      </c>
      <c r="M30" s="8">
        <v>-4</v>
      </c>
    </row>
    <row r="31" spans="2:13"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2:13"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2:14">
      <c r="B33" s="4" t="s">
        <v>29</v>
      </c>
      <c r="D33" s="8">
        <v>84026</v>
      </c>
      <c r="E33" s="8">
        <v>33818</v>
      </c>
      <c r="F33" s="8">
        <v>4181</v>
      </c>
      <c r="G33" s="8">
        <v>9941</v>
      </c>
      <c r="H33" s="8">
        <v>4409</v>
      </c>
      <c r="I33" s="8">
        <v>2970</v>
      </c>
      <c r="J33" s="8">
        <v>3896</v>
      </c>
      <c r="K33" s="8">
        <v>3196</v>
      </c>
      <c r="L33" s="8">
        <v>1905</v>
      </c>
      <c r="M33" s="8">
        <v>743</v>
      </c>
    </row>
    <row r="34" spans="2:14">
      <c r="D34" s="17">
        <f>(D33-E33)/E33</f>
        <v>1.4846531432964694</v>
      </c>
      <c r="E34" s="17">
        <f t="shared" ref="E34:M34" si="10">(E33-F33)/F33</f>
        <v>7.0884955752212386</v>
      </c>
      <c r="F34" s="17">
        <f t="shared" si="10"/>
        <v>-0.57941856956040638</v>
      </c>
      <c r="G34" s="17">
        <f t="shared" si="10"/>
        <v>1.2547062826037649</v>
      </c>
      <c r="H34" s="17">
        <f t="shared" si="10"/>
        <v>0.4845117845117845</v>
      </c>
      <c r="I34" s="17">
        <f t="shared" si="10"/>
        <v>-0.23767967145790556</v>
      </c>
      <c r="J34" s="17">
        <f t="shared" si="10"/>
        <v>0.21902377972465581</v>
      </c>
      <c r="K34" s="17">
        <f t="shared" si="10"/>
        <v>0.67769028871391079</v>
      </c>
      <c r="L34" s="17">
        <f t="shared" si="10"/>
        <v>1.5639300134589502</v>
      </c>
      <c r="M34" s="156" t="s">
        <v>19</v>
      </c>
    </row>
    <row r="35" spans="2:14"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2:14">
      <c r="B36" t="s">
        <v>30</v>
      </c>
      <c r="D36" s="8">
        <v>11146</v>
      </c>
      <c r="E36" s="8">
        <v>4058</v>
      </c>
      <c r="F36" s="8">
        <v>-187</v>
      </c>
      <c r="G36" s="8">
        <v>189</v>
      </c>
      <c r="H36" s="8">
        <v>77</v>
      </c>
      <c r="I36" s="8">
        <v>174</v>
      </c>
      <c r="J36" s="8">
        <v>-245</v>
      </c>
      <c r="K36" s="8">
        <v>149</v>
      </c>
      <c r="L36" s="8">
        <v>239</v>
      </c>
      <c r="M36" s="8">
        <v>129</v>
      </c>
    </row>
    <row r="37" spans="2:14"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2:14"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2:14">
      <c r="B39" s="5" t="s">
        <v>31</v>
      </c>
      <c r="D39" s="8">
        <f>D33-D36</f>
        <v>72880</v>
      </c>
      <c r="E39" s="8">
        <f t="shared" ref="E39:M39" si="11">E33-E36</f>
        <v>29760</v>
      </c>
      <c r="F39" s="8">
        <f t="shared" si="11"/>
        <v>4368</v>
      </c>
      <c r="G39" s="8">
        <f t="shared" si="11"/>
        <v>9752</v>
      </c>
      <c r="H39" s="8">
        <f t="shared" si="11"/>
        <v>4332</v>
      </c>
      <c r="I39" s="8">
        <f>I33-I36</f>
        <v>2796</v>
      </c>
      <c r="J39" s="8">
        <f t="shared" si="11"/>
        <v>4141</v>
      </c>
      <c r="K39" s="8">
        <f t="shared" si="11"/>
        <v>3047</v>
      </c>
      <c r="L39" s="8">
        <f t="shared" si="11"/>
        <v>1666</v>
      </c>
      <c r="M39" s="8">
        <f t="shared" si="11"/>
        <v>614</v>
      </c>
    </row>
    <row r="40" spans="2:14">
      <c r="D40" s="17">
        <f>(D39-E39)/E39</f>
        <v>1.4489247311827957</v>
      </c>
      <c r="E40" s="17">
        <f t="shared" ref="E40:M40" si="12">(E39-F39)/F39</f>
        <v>5.813186813186813</v>
      </c>
      <c r="F40" s="17">
        <f t="shared" si="12"/>
        <v>-0.55209187858900743</v>
      </c>
      <c r="G40" s="17">
        <f t="shared" si="12"/>
        <v>1.2511542012927055</v>
      </c>
      <c r="H40" s="17">
        <f t="shared" si="12"/>
        <v>0.54935622317596566</v>
      </c>
      <c r="I40" s="17">
        <f t="shared" si="12"/>
        <v>-0.32480077276020286</v>
      </c>
      <c r="J40" s="17">
        <f t="shared" si="12"/>
        <v>0.35904168034131934</v>
      </c>
      <c r="K40" s="17">
        <f t="shared" si="12"/>
        <v>0.82893157262905159</v>
      </c>
      <c r="L40" s="17">
        <f t="shared" si="12"/>
        <v>1.7133550488599349</v>
      </c>
      <c r="M40" s="156" t="s">
        <v>19</v>
      </c>
    </row>
    <row r="41" spans="2:14"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2:14">
      <c r="B42" s="145" t="s">
        <v>32</v>
      </c>
      <c r="C42" s="35"/>
      <c r="D42" s="9">
        <v>72880</v>
      </c>
      <c r="E42" s="9">
        <v>29760</v>
      </c>
      <c r="F42" s="9">
        <v>4368</v>
      </c>
      <c r="G42" s="9">
        <v>9752</v>
      </c>
      <c r="H42" s="9">
        <v>4332</v>
      </c>
      <c r="I42" s="9">
        <v>2796</v>
      </c>
      <c r="J42" s="9">
        <v>4141</v>
      </c>
      <c r="K42" s="9">
        <v>3047</v>
      </c>
      <c r="L42" s="9">
        <v>1666</v>
      </c>
      <c r="M42" s="9">
        <v>614</v>
      </c>
    </row>
    <row r="43" spans="2:14">
      <c r="D43" s="17">
        <f>(D42-E42)/E42</f>
        <v>1.4489247311827957</v>
      </c>
      <c r="E43" s="17">
        <f t="shared" ref="E43:M43" si="13">(E42-F42)/F42</f>
        <v>5.813186813186813</v>
      </c>
      <c r="F43" s="17">
        <f t="shared" si="13"/>
        <v>-0.55209187858900743</v>
      </c>
      <c r="G43" s="17">
        <f t="shared" si="13"/>
        <v>1.2511542012927055</v>
      </c>
      <c r="H43" s="17">
        <f t="shared" si="13"/>
        <v>0.54935622317596566</v>
      </c>
      <c r="I43" s="17">
        <f t="shared" si="13"/>
        <v>-0.32480077276020286</v>
      </c>
      <c r="J43" s="17">
        <f t="shared" si="13"/>
        <v>0.35904168034131934</v>
      </c>
      <c r="K43" s="17">
        <f t="shared" si="13"/>
        <v>0.82893157262905159</v>
      </c>
      <c r="L43" s="17">
        <f t="shared" si="13"/>
        <v>1.7133550488599349</v>
      </c>
      <c r="M43" s="156" t="s">
        <v>19</v>
      </c>
      <c r="N43" s="8"/>
    </row>
    <row r="44" spans="2:14"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2:14">
      <c r="B45" t="s">
        <v>33</v>
      </c>
      <c r="D45" s="8">
        <f>D27+'Cash Flow'!D10</f>
        <v>83317</v>
      </c>
      <c r="E45" s="8">
        <f>E27+'Cash Flow'!E10</f>
        <v>34480</v>
      </c>
      <c r="F45" s="8">
        <v>5768</v>
      </c>
      <c r="G45" s="8">
        <v>11215</v>
      </c>
      <c r="H45" s="8">
        <v>5630</v>
      </c>
      <c r="I45" s="8">
        <v>3227</v>
      </c>
      <c r="J45" s="8">
        <v>4066</v>
      </c>
      <c r="K45" s="8">
        <v>3409</v>
      </c>
      <c r="L45" s="8">
        <v>2121</v>
      </c>
      <c r="M45" s="8">
        <v>973</v>
      </c>
    </row>
    <row r="46" spans="2:14">
      <c r="D46" s="17">
        <f>(D45-E45)/E45</f>
        <v>1.4163863109048724</v>
      </c>
      <c r="E46" s="17">
        <f t="shared" ref="E46:M46" si="14">(E45-F45)/F45</f>
        <v>4.9778085991678225</v>
      </c>
      <c r="F46" s="17">
        <f t="shared" si="14"/>
        <v>-0.48568880962995986</v>
      </c>
      <c r="G46" s="17">
        <f t="shared" si="14"/>
        <v>0.99200710479573717</v>
      </c>
      <c r="H46" s="17">
        <f t="shared" si="14"/>
        <v>0.74465447784319805</v>
      </c>
      <c r="I46" s="17">
        <f t="shared" si="14"/>
        <v>-0.20634530250860797</v>
      </c>
      <c r="J46" s="17">
        <f t="shared" si="14"/>
        <v>0.19272513933704899</v>
      </c>
      <c r="K46" s="17">
        <f t="shared" si="14"/>
        <v>0.60726072607260728</v>
      </c>
      <c r="L46" s="17">
        <f t="shared" si="14"/>
        <v>1.1798561151079137</v>
      </c>
      <c r="M46" s="156" t="s">
        <v>19</v>
      </c>
    </row>
    <row r="47" spans="2:14"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2:14">
      <c r="B48" t="s">
        <v>34</v>
      </c>
      <c r="D48" s="8">
        <v>24555</v>
      </c>
      <c r="E48" s="8">
        <v>24690</v>
      </c>
      <c r="F48" s="8">
        <v>24870</v>
      </c>
      <c r="G48" s="8">
        <v>24960</v>
      </c>
      <c r="H48" s="8">
        <v>24670</v>
      </c>
      <c r="I48" s="8">
        <v>24390</v>
      </c>
      <c r="J48" s="8">
        <v>24320</v>
      </c>
      <c r="K48" s="8">
        <v>23960</v>
      </c>
      <c r="L48" s="8">
        <v>21640</v>
      </c>
      <c r="M48" s="8">
        <v>21720</v>
      </c>
    </row>
    <row r="49" spans="2:13">
      <c r="D49" s="17">
        <f>(D48-E48)/E48</f>
        <v>-5.4678007290400975E-3</v>
      </c>
      <c r="E49" s="17">
        <f t="shared" ref="E49:M49" si="15">(E48-F48)/F48</f>
        <v>-7.2376357056694813E-3</v>
      </c>
      <c r="F49" s="17">
        <f t="shared" si="15"/>
        <v>-3.605769230769231E-3</v>
      </c>
      <c r="G49" s="17">
        <f t="shared" si="15"/>
        <v>1.1755168220510741E-2</v>
      </c>
      <c r="H49" s="17">
        <f t="shared" si="15"/>
        <v>1.1480114801148012E-2</v>
      </c>
      <c r="I49" s="17">
        <f t="shared" si="15"/>
        <v>2.8782894736842104E-3</v>
      </c>
      <c r="J49" s="17">
        <f t="shared" si="15"/>
        <v>1.5025041736227046E-2</v>
      </c>
      <c r="K49" s="17">
        <f t="shared" si="15"/>
        <v>0.10720887245841035</v>
      </c>
      <c r="L49" s="17">
        <f t="shared" si="15"/>
        <v>-3.6832412523020259E-3</v>
      </c>
      <c r="M49" s="156" t="s">
        <v>19</v>
      </c>
    </row>
    <row r="50" spans="2:13"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2:13">
      <c r="B51" t="s">
        <v>35</v>
      </c>
      <c r="D51" s="8">
        <v>24804</v>
      </c>
      <c r="E51" s="8">
        <v>24940</v>
      </c>
      <c r="F51" s="8">
        <v>25070</v>
      </c>
      <c r="G51" s="8">
        <v>25350</v>
      </c>
      <c r="H51" s="8">
        <v>25100</v>
      </c>
      <c r="I51" s="8">
        <v>24720</v>
      </c>
      <c r="J51" s="8">
        <v>25000</v>
      </c>
      <c r="K51" s="8">
        <v>25280</v>
      </c>
      <c r="L51" s="8">
        <v>25960</v>
      </c>
      <c r="M51" s="8">
        <v>22760</v>
      </c>
    </row>
    <row r="52" spans="2:13"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2:13"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2:13">
      <c r="B54" t="s">
        <v>36</v>
      </c>
      <c r="D54" s="48">
        <v>2.97</v>
      </c>
      <c r="E54" s="48">
        <v>1.21</v>
      </c>
      <c r="F54" s="48">
        <v>0.18</v>
      </c>
      <c r="G54" s="48">
        <v>0.39100000000000001</v>
      </c>
      <c r="H54" s="48">
        <v>0.17599999999999999</v>
      </c>
      <c r="I54" s="48">
        <v>0.115</v>
      </c>
      <c r="J54" s="48">
        <v>0.17030000000000001</v>
      </c>
      <c r="K54" s="48">
        <v>0.1273</v>
      </c>
      <c r="L54" s="48">
        <v>7.6999999999999999E-2</v>
      </c>
      <c r="M54" s="48">
        <v>2.8299999999999999E-2</v>
      </c>
    </row>
    <row r="55" spans="2:13">
      <c r="D55" s="48"/>
      <c r="E55" s="48"/>
      <c r="F55" s="48"/>
      <c r="G55" s="48"/>
      <c r="H55" s="48"/>
      <c r="I55" s="48"/>
      <c r="J55" s="48"/>
      <c r="K55" s="48"/>
      <c r="L55" s="48"/>
      <c r="M55" s="48"/>
    </row>
    <row r="56" spans="2:13">
      <c r="D56" s="48"/>
      <c r="E56" s="48"/>
      <c r="F56" s="48"/>
      <c r="G56" s="48"/>
      <c r="H56" s="48"/>
      <c r="I56" s="48"/>
      <c r="J56" s="48"/>
      <c r="K56" s="48"/>
      <c r="L56" s="48"/>
      <c r="M56" s="48"/>
    </row>
    <row r="57" spans="2:13">
      <c r="B57" t="s">
        <v>37</v>
      </c>
      <c r="D57" s="48">
        <v>2.94</v>
      </c>
      <c r="E57" s="48">
        <v>1.19</v>
      </c>
      <c r="F57" s="48">
        <v>0.17</v>
      </c>
      <c r="G57" s="48">
        <v>0.38500000000000001</v>
      </c>
      <c r="H57" s="48">
        <v>0.17299999999999999</v>
      </c>
      <c r="I57" s="48">
        <v>0.113</v>
      </c>
      <c r="J57" s="48">
        <v>0.1658</v>
      </c>
      <c r="K57" s="48">
        <v>0.1205</v>
      </c>
      <c r="L57" s="48">
        <v>6.4299999999999996E-2</v>
      </c>
      <c r="M57" s="48">
        <v>2.7E-2</v>
      </c>
    </row>
    <row r="58" spans="2:13">
      <c r="D58" s="8"/>
      <c r="E58" s="8"/>
      <c r="F58" s="8"/>
      <c r="G58" s="8"/>
      <c r="H58" s="8"/>
      <c r="I58" s="8"/>
      <c r="J58" s="8"/>
      <c r="K58" s="8"/>
      <c r="L58" s="8"/>
      <c r="M58" s="8"/>
    </row>
  </sheetData>
  <sortState xmlns:xlrd2="http://schemas.microsoft.com/office/spreadsheetml/2017/richdata2" ref="D9:M9">
    <sortCondition descending="1" ref="D9"/>
  </sortState>
  <printOptions horizontalCentered="1"/>
  <pageMargins left="0.25" right="0.25" top="0.75" bottom="0.75" header="0.3" footer="0.3"/>
  <pageSetup fitToWidth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1C99-0798-4082-B087-D0B8526B24D5}">
  <dimension ref="A1:M33"/>
  <sheetViews>
    <sheetView workbookViewId="0">
      <selection activeCell="O18" sqref="O18"/>
    </sheetView>
  </sheetViews>
  <sheetFormatPr defaultRowHeight="15"/>
  <cols>
    <col min="1" max="1" width="2.140625" customWidth="1"/>
    <col min="2" max="2" width="32.85546875" customWidth="1"/>
    <col min="3" max="3" width="2.28515625" customWidth="1"/>
  </cols>
  <sheetData>
    <row r="1" spans="1:13" ht="9" customHeight="1"/>
    <row r="6" spans="1:13">
      <c r="B6" s="41" t="s">
        <v>38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3">
      <c r="B7" s="2" t="s">
        <v>7</v>
      </c>
      <c r="C7" s="3"/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</row>
    <row r="9" spans="1:13">
      <c r="B9" t="s">
        <v>39</v>
      </c>
      <c r="D9">
        <v>43210</v>
      </c>
      <c r="E9">
        <v>25984</v>
      </c>
      <c r="F9">
        <v>13296</v>
      </c>
      <c r="G9">
        <v>21208</v>
      </c>
      <c r="H9">
        <v>11561</v>
      </c>
      <c r="I9">
        <v>10897</v>
      </c>
      <c r="J9">
        <v>7422</v>
      </c>
      <c r="K9">
        <v>7108</v>
      </c>
      <c r="L9">
        <v>6798</v>
      </c>
      <c r="M9">
        <v>5037</v>
      </c>
    </row>
    <row r="10" spans="1:13">
      <c r="B10" t="s">
        <v>40</v>
      </c>
      <c r="D10">
        <v>23065</v>
      </c>
      <c r="E10">
        <v>9999</v>
      </c>
      <c r="F10">
        <v>3827</v>
      </c>
      <c r="G10">
        <v>4650</v>
      </c>
      <c r="H10">
        <v>2429</v>
      </c>
      <c r="I10">
        <v>1657</v>
      </c>
      <c r="J10">
        <v>1424</v>
      </c>
      <c r="K10">
        <v>1265</v>
      </c>
      <c r="L10">
        <v>826</v>
      </c>
      <c r="M10">
        <v>505</v>
      </c>
    </row>
    <row r="11" spans="1:13">
      <c r="B11" t="s">
        <v>41</v>
      </c>
      <c r="D11">
        <v>10080</v>
      </c>
      <c r="E11">
        <v>5282</v>
      </c>
      <c r="F11">
        <v>5159</v>
      </c>
      <c r="G11">
        <v>2605</v>
      </c>
      <c r="H11">
        <v>1826</v>
      </c>
      <c r="I11">
        <v>979</v>
      </c>
      <c r="J11">
        <v>1575</v>
      </c>
      <c r="K11">
        <v>796</v>
      </c>
      <c r="L11">
        <v>794</v>
      </c>
      <c r="M11">
        <v>418</v>
      </c>
    </row>
    <row r="12" spans="1:13">
      <c r="B12" t="s">
        <v>42</v>
      </c>
      <c r="D12">
        <v>3771</v>
      </c>
      <c r="E12">
        <v>3080</v>
      </c>
      <c r="F12">
        <v>791</v>
      </c>
      <c r="G12">
        <v>366</v>
      </c>
      <c r="H12">
        <v>239</v>
      </c>
      <c r="I12">
        <v>157</v>
      </c>
      <c r="J12">
        <v>136</v>
      </c>
      <c r="K12">
        <v>86</v>
      </c>
      <c r="L12">
        <v>118</v>
      </c>
      <c r="M12">
        <v>93</v>
      </c>
    </row>
    <row r="13" spans="1:13">
      <c r="B13" s="6" t="s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0" t="s">
        <v>19</v>
      </c>
      <c r="K13" s="10" t="s">
        <v>19</v>
      </c>
      <c r="L13" s="10" t="s">
        <v>19</v>
      </c>
      <c r="M13" s="10" t="s">
        <v>19</v>
      </c>
    </row>
    <row r="14" spans="1:13">
      <c r="A14" s="11" t="s">
        <v>44</v>
      </c>
      <c r="D14">
        <f>SUM(D9:D12)</f>
        <v>80126</v>
      </c>
      <c r="E14">
        <f t="shared" ref="E14:M14" si="0">SUM(E9:E12)</f>
        <v>44345</v>
      </c>
      <c r="F14">
        <f t="shared" si="0"/>
        <v>23073</v>
      </c>
      <c r="G14">
        <f t="shared" si="0"/>
        <v>28829</v>
      </c>
      <c r="H14">
        <f t="shared" si="0"/>
        <v>16055</v>
      </c>
      <c r="I14">
        <f t="shared" si="0"/>
        <v>13690</v>
      </c>
      <c r="J14">
        <f t="shared" si="0"/>
        <v>10557</v>
      </c>
      <c r="K14">
        <f t="shared" si="0"/>
        <v>9255</v>
      </c>
      <c r="L14">
        <f t="shared" si="0"/>
        <v>8536</v>
      </c>
      <c r="M14">
        <f t="shared" si="0"/>
        <v>6053</v>
      </c>
    </row>
    <row r="15" spans="1:13">
      <c r="B15" t="s">
        <v>45</v>
      </c>
      <c r="D15">
        <v>6283</v>
      </c>
      <c r="E15">
        <v>3914</v>
      </c>
      <c r="F15">
        <v>3807</v>
      </c>
      <c r="G15">
        <v>2778</v>
      </c>
      <c r="H15">
        <v>2149</v>
      </c>
      <c r="I15">
        <v>1674</v>
      </c>
      <c r="J15">
        <v>1404</v>
      </c>
      <c r="K15">
        <v>997</v>
      </c>
      <c r="L15">
        <v>521</v>
      </c>
      <c r="M15">
        <v>466</v>
      </c>
    </row>
    <row r="16" spans="1:13">
      <c r="B16" s="6" t="s">
        <v>46</v>
      </c>
    </row>
    <row r="17" spans="1:13">
      <c r="B17" t="s">
        <v>47</v>
      </c>
      <c r="D17">
        <v>5995</v>
      </c>
      <c r="E17">
        <v>5542</v>
      </c>
      <c r="F17">
        <v>6048</v>
      </c>
      <c r="G17">
        <v>6688</v>
      </c>
      <c r="H17">
        <v>6930</v>
      </c>
      <c r="I17">
        <v>667</v>
      </c>
      <c r="J17">
        <v>663</v>
      </c>
      <c r="K17">
        <v>670</v>
      </c>
      <c r="L17">
        <v>722</v>
      </c>
      <c r="M17">
        <v>784</v>
      </c>
    </row>
    <row r="18" spans="1:13">
      <c r="B18" t="s">
        <v>48</v>
      </c>
      <c r="D18">
        <v>6425</v>
      </c>
      <c r="E18">
        <v>4500</v>
      </c>
      <c r="F18">
        <v>3820</v>
      </c>
      <c r="G18">
        <v>3841</v>
      </c>
      <c r="H18">
        <v>2144</v>
      </c>
      <c r="I18">
        <v>118</v>
      </c>
      <c r="J18">
        <v>108</v>
      </c>
      <c r="K18">
        <v>319</v>
      </c>
      <c r="L18">
        <v>62</v>
      </c>
      <c r="M18">
        <v>67</v>
      </c>
    </row>
    <row r="19" spans="1:13">
      <c r="A19" s="12" t="s">
        <v>49</v>
      </c>
      <c r="D19">
        <v>31475</v>
      </c>
      <c r="E19">
        <v>21383</v>
      </c>
      <c r="F19">
        <v>18109</v>
      </c>
      <c r="G19">
        <v>15358</v>
      </c>
      <c r="H19">
        <v>12736</v>
      </c>
      <c r="I19">
        <v>3625</v>
      </c>
      <c r="J19">
        <v>2735</v>
      </c>
      <c r="K19">
        <v>1986</v>
      </c>
      <c r="L19">
        <v>1305</v>
      </c>
      <c r="M19">
        <v>1317</v>
      </c>
    </row>
    <row r="20" spans="1:13">
      <c r="A20" s="157" t="s">
        <v>50</v>
      </c>
      <c r="B20" s="145"/>
      <c r="C20" s="35"/>
      <c r="D20" s="35">
        <v>111601</v>
      </c>
      <c r="E20" s="35">
        <v>65728</v>
      </c>
      <c r="F20" s="35">
        <v>41182</v>
      </c>
      <c r="G20" s="35">
        <v>44187</v>
      </c>
      <c r="H20" s="35">
        <v>28791</v>
      </c>
      <c r="I20" s="35">
        <v>17315</v>
      </c>
      <c r="J20" s="35">
        <v>13292</v>
      </c>
      <c r="K20" s="35">
        <v>11241</v>
      </c>
      <c r="L20" s="35">
        <v>9841</v>
      </c>
      <c r="M20" s="35">
        <v>7370</v>
      </c>
    </row>
    <row r="22" spans="1:13">
      <c r="A22" s="11" t="s">
        <v>51</v>
      </c>
      <c r="D22">
        <v>18047</v>
      </c>
      <c r="E22">
        <v>10631</v>
      </c>
      <c r="F22">
        <v>6563</v>
      </c>
      <c r="G22">
        <v>4335</v>
      </c>
      <c r="H22">
        <v>3925</v>
      </c>
      <c r="I22">
        <v>1784</v>
      </c>
      <c r="J22">
        <v>1329</v>
      </c>
      <c r="K22">
        <v>1153</v>
      </c>
      <c r="L22">
        <v>1788</v>
      </c>
      <c r="M22">
        <v>2351</v>
      </c>
    </row>
    <row r="23" spans="1:13">
      <c r="B23" t="s">
        <v>52</v>
      </c>
      <c r="D23">
        <v>8463</v>
      </c>
      <c r="E23">
        <v>8459</v>
      </c>
      <c r="F23">
        <v>9703</v>
      </c>
      <c r="G23">
        <v>10946</v>
      </c>
      <c r="H23">
        <v>5964</v>
      </c>
      <c r="I23">
        <v>1991</v>
      </c>
      <c r="J23">
        <v>1988</v>
      </c>
      <c r="K23">
        <v>1985</v>
      </c>
      <c r="L23">
        <v>2014</v>
      </c>
      <c r="M23">
        <v>97</v>
      </c>
    </row>
    <row r="24" spans="1:13">
      <c r="B24" t="s">
        <v>53</v>
      </c>
      <c r="D24">
        <v>4245</v>
      </c>
      <c r="E24">
        <v>2541</v>
      </c>
      <c r="F24">
        <v>1913</v>
      </c>
      <c r="G24">
        <v>1553</v>
      </c>
      <c r="H24">
        <v>1375</v>
      </c>
      <c r="I24">
        <v>775</v>
      </c>
      <c r="J24">
        <v>633</v>
      </c>
      <c r="K24">
        <v>632</v>
      </c>
      <c r="L24">
        <v>277</v>
      </c>
      <c r="M24">
        <v>453</v>
      </c>
    </row>
    <row r="25" spans="1:13">
      <c r="A25" s="11" t="s">
        <v>54</v>
      </c>
      <c r="D25">
        <v>14227</v>
      </c>
      <c r="E25">
        <v>12119</v>
      </c>
      <c r="F25">
        <v>12518</v>
      </c>
      <c r="G25">
        <v>13240</v>
      </c>
      <c r="H25">
        <v>7973</v>
      </c>
      <c r="I25">
        <v>3327</v>
      </c>
      <c r="J25">
        <v>2621</v>
      </c>
      <c r="K25">
        <v>2617</v>
      </c>
      <c r="L25">
        <v>2291</v>
      </c>
      <c r="M25">
        <v>550</v>
      </c>
    </row>
    <row r="26" spans="1:13">
      <c r="A26" s="157" t="s">
        <v>55</v>
      </c>
      <c r="B26" s="145"/>
      <c r="C26" s="35"/>
      <c r="D26" s="35">
        <f>D22+D25</f>
        <v>32274</v>
      </c>
      <c r="E26" s="35">
        <f t="shared" ref="E26:M26" si="1">E22+E25</f>
        <v>22750</v>
      </c>
      <c r="F26" s="35">
        <f t="shared" si="1"/>
        <v>19081</v>
      </c>
      <c r="G26" s="35">
        <f t="shared" si="1"/>
        <v>17575</v>
      </c>
      <c r="H26" s="35">
        <f t="shared" si="1"/>
        <v>11898</v>
      </c>
      <c r="I26" s="35">
        <f t="shared" si="1"/>
        <v>5111</v>
      </c>
      <c r="J26" s="35">
        <f t="shared" si="1"/>
        <v>3950</v>
      </c>
      <c r="K26" s="35">
        <f t="shared" si="1"/>
        <v>3770</v>
      </c>
      <c r="L26" s="35">
        <f t="shared" si="1"/>
        <v>4079</v>
      </c>
      <c r="M26" s="35">
        <f t="shared" si="1"/>
        <v>2901</v>
      </c>
    </row>
    <row r="28" spans="1:13">
      <c r="B28" t="s">
        <v>56</v>
      </c>
      <c r="D28">
        <v>24</v>
      </c>
      <c r="E28">
        <v>25</v>
      </c>
      <c r="F28">
        <v>2</v>
      </c>
      <c r="G28">
        <v>3</v>
      </c>
      <c r="H28">
        <v>3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>
      <c r="B29" t="s">
        <v>57</v>
      </c>
      <c r="D29">
        <v>68038</v>
      </c>
      <c r="E29">
        <v>29817</v>
      </c>
      <c r="F29">
        <v>10171</v>
      </c>
      <c r="G29">
        <v>16235</v>
      </c>
      <c r="H29">
        <v>18908</v>
      </c>
      <c r="I29">
        <v>14971</v>
      </c>
      <c r="J29">
        <v>12565</v>
      </c>
      <c r="K29">
        <v>8787</v>
      </c>
      <c r="L29">
        <v>6108</v>
      </c>
      <c r="M29">
        <v>4350</v>
      </c>
    </row>
    <row r="30" spans="1:13">
      <c r="B30" t="s">
        <v>58</v>
      </c>
      <c r="D30">
        <v>28</v>
      </c>
      <c r="E30">
        <v>27</v>
      </c>
      <c r="F30">
        <v>-43</v>
      </c>
      <c r="G30">
        <v>-11</v>
      </c>
      <c r="H30">
        <v>19</v>
      </c>
      <c r="I30">
        <v>1</v>
      </c>
      <c r="J30">
        <v>-12</v>
      </c>
      <c r="K30">
        <v>-18</v>
      </c>
      <c r="L30">
        <v>-16</v>
      </c>
      <c r="M30">
        <v>-4</v>
      </c>
    </row>
    <row r="31" spans="1:13">
      <c r="B31" t="s">
        <v>59</v>
      </c>
      <c r="D31" s="14" t="s">
        <v>19</v>
      </c>
      <c r="E31" s="14" t="s">
        <v>19</v>
      </c>
      <c r="F31" s="14" t="s">
        <v>19</v>
      </c>
      <c r="G31" s="14" t="s">
        <v>19</v>
      </c>
      <c r="H31" s="14" t="s">
        <v>19</v>
      </c>
      <c r="I31" s="14" t="s">
        <v>19</v>
      </c>
      <c r="J31" s="14" t="s">
        <v>19</v>
      </c>
      <c r="K31" s="14" t="s">
        <v>19</v>
      </c>
      <c r="L31" s="14" t="s">
        <v>19</v>
      </c>
      <c r="M31" s="14" t="s">
        <v>19</v>
      </c>
    </row>
    <row r="32" spans="1:13">
      <c r="A32" s="158" t="s">
        <v>60</v>
      </c>
      <c r="B32" s="159"/>
      <c r="C32" s="159"/>
      <c r="D32" s="159">
        <v>79327</v>
      </c>
      <c r="E32" s="159">
        <v>42978</v>
      </c>
      <c r="F32" s="159">
        <v>22101</v>
      </c>
      <c r="G32" s="159">
        <v>26612</v>
      </c>
      <c r="H32" s="159">
        <v>16893</v>
      </c>
      <c r="I32" s="159">
        <v>12204</v>
      </c>
      <c r="J32" s="159">
        <v>9342</v>
      </c>
      <c r="K32" s="159">
        <v>7471</v>
      </c>
      <c r="L32" s="159">
        <v>5762</v>
      </c>
      <c r="M32" s="159">
        <v>4469</v>
      </c>
    </row>
    <row r="33" spans="1:13">
      <c r="A33" s="160" t="s">
        <v>61</v>
      </c>
      <c r="B33" s="161"/>
      <c r="C33" s="51"/>
      <c r="D33" s="51">
        <f>D26+D32</f>
        <v>111601</v>
      </c>
      <c r="E33" s="51">
        <f t="shared" ref="E33:M33" si="2">E26+E32</f>
        <v>65728</v>
      </c>
      <c r="F33" s="51">
        <f t="shared" si="2"/>
        <v>41182</v>
      </c>
      <c r="G33" s="51">
        <f t="shared" si="2"/>
        <v>44187</v>
      </c>
      <c r="H33" s="51">
        <f t="shared" si="2"/>
        <v>28791</v>
      </c>
      <c r="I33" s="51">
        <f t="shared" si="2"/>
        <v>17315</v>
      </c>
      <c r="J33" s="51">
        <f t="shared" si="2"/>
        <v>13292</v>
      </c>
      <c r="K33" s="51">
        <f t="shared" si="2"/>
        <v>11241</v>
      </c>
      <c r="L33" s="51">
        <f t="shared" si="2"/>
        <v>9841</v>
      </c>
      <c r="M33" s="51">
        <f t="shared" si="2"/>
        <v>7370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B007-6DD2-44FE-8E2F-5367484E3B8D}">
  <sheetPr>
    <pageSetUpPr fitToPage="1"/>
  </sheetPr>
  <dimension ref="A1:M40"/>
  <sheetViews>
    <sheetView workbookViewId="0">
      <selection activeCell="Q21" sqref="Q21"/>
    </sheetView>
  </sheetViews>
  <sheetFormatPr defaultRowHeight="15"/>
  <cols>
    <col min="1" max="1" width="1.42578125" customWidth="1"/>
    <col min="2" max="2" width="40.85546875" customWidth="1"/>
    <col min="3" max="3" width="2" customWidth="1"/>
  </cols>
  <sheetData>
    <row r="1" spans="1:13" ht="6.75" customHeight="1"/>
    <row r="6" spans="1:13">
      <c r="B6" s="41" t="s">
        <v>62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3">
      <c r="B7" s="2" t="s">
        <v>7</v>
      </c>
      <c r="C7" s="3"/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</row>
    <row r="9" spans="1:13">
      <c r="A9" s="13" t="s">
        <v>63</v>
      </c>
      <c r="B9" s="6"/>
      <c r="D9" s="162">
        <f>'Income Statement'!D42</f>
        <v>72880</v>
      </c>
      <c r="E9" s="162">
        <f>'Income Statement'!E42</f>
        <v>29760</v>
      </c>
      <c r="F9" s="162">
        <f>'Income Statement'!F42</f>
        <v>4368</v>
      </c>
      <c r="G9" s="162">
        <f>'Income Statement'!G42</f>
        <v>9752</v>
      </c>
      <c r="H9" s="162">
        <f>'Income Statement'!H42</f>
        <v>4332</v>
      </c>
      <c r="I9" s="162">
        <f>'Income Statement'!I42</f>
        <v>2796</v>
      </c>
      <c r="J9" s="162">
        <f>'Income Statement'!J42</f>
        <v>4141</v>
      </c>
      <c r="K9" s="162">
        <f>'Income Statement'!K42</f>
        <v>3047</v>
      </c>
      <c r="L9" s="162">
        <f>'Income Statement'!L42</f>
        <v>1666</v>
      </c>
      <c r="M9" s="162">
        <f>'Income Statement'!M42</f>
        <v>614</v>
      </c>
    </row>
    <row r="10" spans="1:13">
      <c r="A10" s="6"/>
      <c r="B10" s="6" t="s">
        <v>64</v>
      </c>
      <c r="D10" s="14">
        <v>1864</v>
      </c>
      <c r="E10" s="14">
        <v>1508</v>
      </c>
      <c r="F10" s="14">
        <v>1544</v>
      </c>
      <c r="G10" s="14">
        <v>1174</v>
      </c>
      <c r="H10" s="14">
        <v>1098</v>
      </c>
      <c r="I10" s="14">
        <v>381</v>
      </c>
      <c r="J10" s="14">
        <v>262</v>
      </c>
      <c r="K10" s="14">
        <v>199</v>
      </c>
      <c r="L10" s="14">
        <v>187</v>
      </c>
      <c r="M10" s="14">
        <v>226</v>
      </c>
    </row>
    <row r="11" spans="1:13">
      <c r="A11" s="6"/>
      <c r="B11" s="6" t="s">
        <v>65</v>
      </c>
      <c r="D11" s="14">
        <v>-1272</v>
      </c>
      <c r="E11" s="14">
        <v>544</v>
      </c>
      <c r="F11" s="14">
        <v>1936</v>
      </c>
      <c r="G11" s="14">
        <v>1545</v>
      </c>
      <c r="H11" s="14">
        <v>1095</v>
      </c>
      <c r="I11" s="14">
        <v>867</v>
      </c>
      <c r="J11" s="14">
        <v>197</v>
      </c>
      <c r="K11" s="14">
        <v>71</v>
      </c>
      <c r="L11" s="14">
        <v>498</v>
      </c>
      <c r="M11" s="14">
        <v>386</v>
      </c>
    </row>
    <row r="12" spans="1:13">
      <c r="A12" s="6"/>
      <c r="B12" s="6" t="s">
        <v>66</v>
      </c>
      <c r="D12" s="14">
        <f>D10+D11</f>
        <v>592</v>
      </c>
      <c r="E12" s="14">
        <f t="shared" ref="E12:L12" si="0">E10+E11</f>
        <v>2052</v>
      </c>
      <c r="F12" s="14">
        <f t="shared" si="0"/>
        <v>3480</v>
      </c>
      <c r="G12" s="14">
        <f t="shared" si="0"/>
        <v>2719</v>
      </c>
      <c r="H12" s="14">
        <f t="shared" si="0"/>
        <v>2193</v>
      </c>
      <c r="I12" s="14">
        <f t="shared" si="0"/>
        <v>1248</v>
      </c>
      <c r="J12" s="14">
        <f t="shared" si="0"/>
        <v>459</v>
      </c>
      <c r="K12" s="14">
        <f t="shared" si="0"/>
        <v>270</v>
      </c>
      <c r="L12" s="14">
        <f t="shared" si="0"/>
        <v>685</v>
      </c>
      <c r="M12" s="14">
        <f>M10+M11</f>
        <v>612</v>
      </c>
    </row>
    <row r="13" spans="1:13">
      <c r="A13" s="6"/>
      <c r="B13" s="6" t="s">
        <v>67</v>
      </c>
      <c r="D13" s="14">
        <v>-13063</v>
      </c>
      <c r="E13" s="14">
        <v>-6172</v>
      </c>
      <c r="F13" s="14">
        <v>822</v>
      </c>
      <c r="G13" s="14">
        <v>-2215</v>
      </c>
      <c r="H13" s="14">
        <v>-550</v>
      </c>
      <c r="I13" s="14">
        <v>-233</v>
      </c>
      <c r="J13" s="14">
        <v>-149</v>
      </c>
      <c r="K13" s="14">
        <v>-440</v>
      </c>
      <c r="L13" s="14">
        <v>-321</v>
      </c>
      <c r="M13" s="14">
        <v>-32</v>
      </c>
    </row>
    <row r="14" spans="1:13">
      <c r="A14" s="6"/>
      <c r="B14" s="6" t="s">
        <v>68</v>
      </c>
      <c r="D14" s="14">
        <v>-4781</v>
      </c>
      <c r="E14" s="14">
        <v>-98</v>
      </c>
      <c r="F14" s="14">
        <v>-2554</v>
      </c>
      <c r="G14" s="14">
        <v>-774</v>
      </c>
      <c r="H14" s="14">
        <v>-524</v>
      </c>
      <c r="I14" s="14">
        <v>597</v>
      </c>
      <c r="J14" s="14">
        <v>-776</v>
      </c>
      <c r="K14" s="14">
        <v>0</v>
      </c>
      <c r="L14" s="14">
        <v>-375</v>
      </c>
      <c r="M14" s="14">
        <v>66</v>
      </c>
    </row>
    <row r="15" spans="1:13">
      <c r="A15" s="6"/>
      <c r="B15" s="6" t="s">
        <v>69</v>
      </c>
      <c r="D15" s="14">
        <v>3357</v>
      </c>
      <c r="E15" s="14">
        <v>1531</v>
      </c>
      <c r="F15" s="14">
        <v>-551</v>
      </c>
      <c r="G15" s="14">
        <v>568</v>
      </c>
      <c r="H15" s="14">
        <v>312</v>
      </c>
      <c r="I15" s="14">
        <v>194</v>
      </c>
      <c r="J15" s="14">
        <v>-135</v>
      </c>
      <c r="K15" s="14">
        <v>90</v>
      </c>
      <c r="L15" s="14">
        <v>184</v>
      </c>
      <c r="M15" s="14">
        <v>-11</v>
      </c>
    </row>
    <row r="16" spans="1:13">
      <c r="A16" s="6"/>
      <c r="B16" s="6" t="s">
        <v>70</v>
      </c>
      <c r="D16" s="14">
        <v>826</v>
      </c>
      <c r="E16" s="14">
        <v>-1008</v>
      </c>
      <c r="F16" s="14">
        <v>-1265</v>
      </c>
      <c r="G16" s="14">
        <v>-1523</v>
      </c>
      <c r="H16" s="14">
        <v>-231</v>
      </c>
      <c r="I16" s="14">
        <v>105</v>
      </c>
      <c r="J16" s="14">
        <v>-53</v>
      </c>
      <c r="K16" s="14">
        <v>21</v>
      </c>
      <c r="L16" s="14">
        <v>-18</v>
      </c>
      <c r="M16" s="14">
        <v>-16</v>
      </c>
    </row>
    <row r="17" spans="1:13">
      <c r="A17" s="6"/>
      <c r="B17" s="6" t="s">
        <v>71</v>
      </c>
      <c r="D17" s="14">
        <v>-9383</v>
      </c>
      <c r="E17" s="14">
        <v>-3722</v>
      </c>
      <c r="F17" s="14">
        <v>-2207</v>
      </c>
      <c r="G17" s="14">
        <v>-3363</v>
      </c>
      <c r="H17" s="14">
        <v>-703</v>
      </c>
      <c r="I17" s="14">
        <v>717</v>
      </c>
      <c r="J17" s="14">
        <v>-857</v>
      </c>
      <c r="K17" s="14">
        <v>185</v>
      </c>
      <c r="L17" s="14">
        <v>-679</v>
      </c>
      <c r="M17" s="14">
        <v>-51</v>
      </c>
    </row>
    <row r="18" spans="1:13">
      <c r="A18" s="6"/>
      <c r="B18" s="6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>
      <c r="A19" s="15" t="s">
        <v>72</v>
      </c>
      <c r="B19" s="6"/>
      <c r="D19" s="16">
        <f>D9+D12+D17</f>
        <v>64089</v>
      </c>
      <c r="E19" s="16">
        <f>E9+E12+E17</f>
        <v>28090</v>
      </c>
      <c r="F19" s="16">
        <f t="shared" ref="F19:I19" si="1">F9+F12+F17</f>
        <v>5641</v>
      </c>
      <c r="G19" s="16">
        <f t="shared" si="1"/>
        <v>9108</v>
      </c>
      <c r="H19" s="16">
        <f t="shared" si="1"/>
        <v>5822</v>
      </c>
      <c r="I19" s="16">
        <f t="shared" si="1"/>
        <v>4761</v>
      </c>
      <c r="J19" s="16">
        <f>J9+J12+J17</f>
        <v>3743</v>
      </c>
      <c r="K19" s="16">
        <f>K9+K12+K17</f>
        <v>3502</v>
      </c>
      <c r="L19" s="16">
        <f t="shared" ref="L19:M19" si="2">L9+L12+L17</f>
        <v>1672</v>
      </c>
      <c r="M19" s="16">
        <f t="shared" si="2"/>
        <v>1175</v>
      </c>
    </row>
    <row r="20" spans="1:13">
      <c r="A20" s="6"/>
      <c r="B20" s="11" t="s">
        <v>73</v>
      </c>
      <c r="D20" s="14">
        <v>-3236</v>
      </c>
      <c r="E20" s="14">
        <v>-1069</v>
      </c>
      <c r="F20" s="14">
        <v>-1833</v>
      </c>
      <c r="G20" s="14">
        <v>-976</v>
      </c>
      <c r="H20" s="14">
        <v>-1128</v>
      </c>
      <c r="I20" s="14">
        <v>-489</v>
      </c>
      <c r="J20" s="14">
        <v>-600</v>
      </c>
      <c r="K20" s="14">
        <v>-591</v>
      </c>
      <c r="L20" s="14">
        <v>-169</v>
      </c>
      <c r="M20" s="14">
        <v>-79</v>
      </c>
    </row>
    <row r="21" spans="1:13">
      <c r="A21" s="6"/>
      <c r="B21" s="6" t="s">
        <v>74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>
      <c r="A22" s="6"/>
      <c r="B22" s="6" t="s">
        <v>75</v>
      </c>
      <c r="D22" s="14">
        <v>-1007</v>
      </c>
      <c r="E22" s="14">
        <v>-83</v>
      </c>
      <c r="F22" s="14">
        <v>-49</v>
      </c>
      <c r="G22" s="14">
        <v>-263</v>
      </c>
      <c r="H22" s="14">
        <v>-8524</v>
      </c>
      <c r="I22" s="14">
        <v>-4</v>
      </c>
      <c r="J22" s="163">
        <v>0</v>
      </c>
      <c r="K22" s="163">
        <v>0</v>
      </c>
      <c r="L22" s="163">
        <v>0</v>
      </c>
      <c r="M22" s="163">
        <v>0</v>
      </c>
    </row>
    <row r="23" spans="1:13">
      <c r="A23" s="6"/>
      <c r="B23" s="11" t="s">
        <v>76</v>
      </c>
      <c r="D23" s="14">
        <v>-14885</v>
      </c>
      <c r="E23" s="14">
        <v>-8429</v>
      </c>
      <c r="F23" s="14">
        <v>9334</v>
      </c>
      <c r="G23" s="14">
        <v>-8591</v>
      </c>
      <c r="H23" s="14">
        <v>-9989</v>
      </c>
      <c r="I23" s="14">
        <v>6648</v>
      </c>
      <c r="J23" s="14">
        <v>-3488</v>
      </c>
      <c r="K23" s="14">
        <v>1869</v>
      </c>
      <c r="L23" s="14">
        <v>-624</v>
      </c>
      <c r="M23" s="14">
        <v>-345</v>
      </c>
    </row>
    <row r="24" spans="1:13">
      <c r="A24" s="6"/>
      <c r="B24" s="11" t="s">
        <v>77</v>
      </c>
      <c r="D24" s="14">
        <v>-1315</v>
      </c>
      <c r="E24" s="14">
        <v>-861</v>
      </c>
      <c r="F24" s="14">
        <v>-77</v>
      </c>
      <c r="G24" s="14"/>
      <c r="H24" s="14"/>
      <c r="I24" s="14"/>
      <c r="J24" s="14"/>
      <c r="K24" s="14"/>
      <c r="L24" s="14"/>
      <c r="M24" s="14"/>
    </row>
    <row r="25" spans="1:13">
      <c r="A25" s="6"/>
      <c r="B25" s="6" t="s">
        <v>78</v>
      </c>
      <c r="D25" s="14">
        <v>-16200</v>
      </c>
      <c r="E25" s="14">
        <v>-9290</v>
      </c>
      <c r="F25" s="14">
        <v>9257</v>
      </c>
      <c r="G25" s="14">
        <v>-8591</v>
      </c>
      <c r="H25" s="14">
        <v>-9989</v>
      </c>
      <c r="I25" s="14">
        <v>6648</v>
      </c>
      <c r="J25" s="14">
        <v>-3488</v>
      </c>
      <c r="K25" s="14">
        <v>1869</v>
      </c>
      <c r="L25" s="14">
        <v>-624</v>
      </c>
      <c r="M25" s="14">
        <v>-345</v>
      </c>
    </row>
    <row r="26" spans="1:13">
      <c r="A26" s="6"/>
      <c r="B26" s="6" t="s">
        <v>79</v>
      </c>
      <c r="D26" s="14">
        <v>22</v>
      </c>
      <c r="E26" s="14">
        <v>-124</v>
      </c>
      <c r="F26" s="14">
        <v>0</v>
      </c>
      <c r="G26" s="14">
        <v>0</v>
      </c>
      <c r="H26" s="14">
        <v>-34</v>
      </c>
      <c r="I26" s="14">
        <v>-10</v>
      </c>
      <c r="J26" s="14">
        <v>-9</v>
      </c>
      <c r="K26" s="14">
        <v>0</v>
      </c>
      <c r="L26" s="14">
        <v>0</v>
      </c>
      <c r="M26" s="14">
        <v>24</v>
      </c>
    </row>
    <row r="27" spans="1:13">
      <c r="A27" s="6"/>
      <c r="B27" s="6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15" t="s">
        <v>80</v>
      </c>
      <c r="B28" s="6"/>
      <c r="D28" s="14">
        <f>D20+D22+D25+D26</f>
        <v>-20421</v>
      </c>
      <c r="E28" s="14">
        <f>E20+E22+E25+E26</f>
        <v>-10566</v>
      </c>
      <c r="F28" s="14">
        <f t="shared" ref="F28:M28" si="3">F20+F22+F25+F26</f>
        <v>7375</v>
      </c>
      <c r="G28" s="14">
        <f t="shared" si="3"/>
        <v>-9830</v>
      </c>
      <c r="H28" s="14">
        <f t="shared" si="3"/>
        <v>-19675</v>
      </c>
      <c r="I28" s="14">
        <f t="shared" si="3"/>
        <v>6145</v>
      </c>
      <c r="J28" s="14">
        <f t="shared" si="3"/>
        <v>-4097</v>
      </c>
      <c r="K28" s="14">
        <f t="shared" si="3"/>
        <v>1278</v>
      </c>
      <c r="L28" s="14">
        <f t="shared" si="3"/>
        <v>-793</v>
      </c>
      <c r="M28" s="14">
        <f t="shared" si="3"/>
        <v>-400</v>
      </c>
    </row>
    <row r="29" spans="1:13">
      <c r="A29" s="6"/>
      <c r="B29" s="6" t="s">
        <v>81</v>
      </c>
      <c r="D29" s="14">
        <v>-1250</v>
      </c>
      <c r="E29" s="14">
        <v>-1250</v>
      </c>
      <c r="F29" s="14">
        <v>0</v>
      </c>
      <c r="G29" s="14">
        <v>3977</v>
      </c>
      <c r="H29" s="14">
        <v>4968</v>
      </c>
      <c r="I29" s="14">
        <v>0</v>
      </c>
      <c r="J29" s="14">
        <v>0</v>
      </c>
      <c r="K29" s="14">
        <v>0</v>
      </c>
      <c r="L29" s="14">
        <v>1988</v>
      </c>
      <c r="M29" s="14">
        <v>0</v>
      </c>
    </row>
    <row r="30" spans="1:13">
      <c r="A30" s="6"/>
      <c r="B30" s="6" t="s">
        <v>82</v>
      </c>
      <c r="D30" s="14"/>
      <c r="E30" s="14"/>
      <c r="F30" s="14"/>
      <c r="G30" s="14"/>
      <c r="H30" s="14"/>
      <c r="I30" s="14"/>
      <c r="J30" s="14">
        <v>-16</v>
      </c>
      <c r="K30" s="14">
        <v>-812</v>
      </c>
      <c r="L30" s="14">
        <v>-673</v>
      </c>
      <c r="M30" s="14">
        <v>0</v>
      </c>
    </row>
    <row r="31" spans="1:13">
      <c r="A31" s="6"/>
      <c r="B31" s="6" t="s">
        <v>83</v>
      </c>
      <c r="D31" s="14">
        <v>-1250</v>
      </c>
      <c r="E31" s="14">
        <v>-1250</v>
      </c>
      <c r="F31" s="14">
        <v>0</v>
      </c>
      <c r="G31" s="14">
        <v>3977</v>
      </c>
      <c r="H31" s="14">
        <v>4968</v>
      </c>
      <c r="I31" s="14">
        <v>0</v>
      </c>
      <c r="J31" s="14">
        <v>-16</v>
      </c>
      <c r="K31" s="14">
        <v>-812</v>
      </c>
      <c r="L31" s="14">
        <v>1315</v>
      </c>
      <c r="M31" s="14">
        <v>0</v>
      </c>
    </row>
    <row r="32" spans="1:13">
      <c r="A32" s="6"/>
      <c r="B32" s="11" t="s">
        <v>84</v>
      </c>
      <c r="D32" s="14">
        <v>-33216</v>
      </c>
      <c r="E32" s="14">
        <v>-9130</v>
      </c>
      <c r="F32" s="14">
        <v>-9684</v>
      </c>
      <c r="G32" s="14">
        <v>281</v>
      </c>
      <c r="H32" s="14">
        <v>0</v>
      </c>
      <c r="I32" s="14">
        <v>0</v>
      </c>
      <c r="J32" s="14">
        <v>-1579</v>
      </c>
      <c r="K32" s="14">
        <v>-909</v>
      </c>
      <c r="L32" s="14">
        <v>-739</v>
      </c>
      <c r="M32" s="14">
        <v>-587</v>
      </c>
    </row>
    <row r="33" spans="1:13">
      <c r="A33" s="6"/>
      <c r="B33" s="6" t="s">
        <v>85</v>
      </c>
      <c r="D33" s="14">
        <v>-33216</v>
      </c>
      <c r="E33" s="14">
        <v>-9130</v>
      </c>
      <c r="F33" s="14">
        <v>-9684</v>
      </c>
      <c r="G33" s="14">
        <v>281</v>
      </c>
      <c r="H33" s="14">
        <v>0</v>
      </c>
      <c r="I33" s="14">
        <v>0</v>
      </c>
      <c r="J33" s="14">
        <v>-1579</v>
      </c>
      <c r="K33" s="14">
        <v>-909</v>
      </c>
      <c r="L33" s="14">
        <v>-739</v>
      </c>
      <c r="M33" s="14">
        <v>-587</v>
      </c>
    </row>
    <row r="34" spans="1:13" ht="30.75">
      <c r="A34" s="6"/>
      <c r="B34" s="6" t="s">
        <v>86</v>
      </c>
      <c r="D34" s="14">
        <v>-834</v>
      </c>
      <c r="E34" s="14">
        <v>-395</v>
      </c>
      <c r="F34" s="14">
        <v>-398</v>
      </c>
      <c r="G34" s="14">
        <v>-399</v>
      </c>
      <c r="H34" s="14">
        <v>-395</v>
      </c>
      <c r="I34" s="14">
        <v>-390</v>
      </c>
      <c r="J34" s="14">
        <v>-371</v>
      </c>
      <c r="K34" s="14">
        <v>-341</v>
      </c>
      <c r="L34" s="14">
        <v>-261</v>
      </c>
      <c r="M34" s="14">
        <v>-213</v>
      </c>
    </row>
    <row r="35" spans="1:13">
      <c r="A35" s="6"/>
      <c r="B35" s="6" t="s">
        <v>87</v>
      </c>
      <c r="D35" s="14">
        <v>-7059</v>
      </c>
      <c r="E35" s="14">
        <v>-2858</v>
      </c>
      <c r="F35" s="14">
        <v>-1535</v>
      </c>
      <c r="G35" s="14">
        <v>-1994</v>
      </c>
      <c r="H35" s="14">
        <v>-769</v>
      </c>
      <c r="I35" s="14">
        <v>-402</v>
      </c>
      <c r="J35" s="14">
        <v>-900</v>
      </c>
      <c r="K35" s="14">
        <v>-482</v>
      </c>
      <c r="L35" s="14">
        <v>-24</v>
      </c>
      <c r="M35" s="14">
        <v>124</v>
      </c>
    </row>
    <row r="36" spans="1:13">
      <c r="A36" s="6"/>
      <c r="B36" s="6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>
      <c r="A37" s="15" t="s">
        <v>88</v>
      </c>
      <c r="B37" s="6"/>
      <c r="D37" s="14">
        <v>-42359</v>
      </c>
      <c r="E37" s="14">
        <v>-13633</v>
      </c>
      <c r="F37" s="14">
        <v>-11617</v>
      </c>
      <c r="G37" s="14">
        <v>1865</v>
      </c>
      <c r="H37" s="14">
        <v>3804</v>
      </c>
      <c r="I37" s="14">
        <v>-792</v>
      </c>
      <c r="J37" s="14">
        <v>-2866</v>
      </c>
      <c r="K37" s="14">
        <v>-2544</v>
      </c>
      <c r="L37" s="14">
        <v>291</v>
      </c>
      <c r="M37" s="14">
        <v>-676</v>
      </c>
    </row>
    <row r="38" spans="1:13">
      <c r="A38" s="6"/>
      <c r="B38" s="6" t="s">
        <v>89</v>
      </c>
      <c r="D38" s="16">
        <f>D19+D28+D37</f>
        <v>1309</v>
      </c>
      <c r="E38" s="16">
        <f>E19+E28+E37</f>
        <v>3891</v>
      </c>
      <c r="F38" s="16">
        <f t="shared" ref="F38:M38" si="4">F19+F28+F37</f>
        <v>1399</v>
      </c>
      <c r="G38" s="16">
        <f t="shared" si="4"/>
        <v>1143</v>
      </c>
      <c r="H38" s="16">
        <f t="shared" si="4"/>
        <v>-10049</v>
      </c>
      <c r="I38" s="16">
        <f t="shared" si="4"/>
        <v>10114</v>
      </c>
      <c r="J38" s="16">
        <f t="shared" si="4"/>
        <v>-3220</v>
      </c>
      <c r="K38" s="16">
        <f t="shared" si="4"/>
        <v>2236</v>
      </c>
      <c r="L38" s="16">
        <f t="shared" si="4"/>
        <v>1170</v>
      </c>
      <c r="M38" s="16">
        <f t="shared" si="4"/>
        <v>99</v>
      </c>
    </row>
    <row r="39" spans="1:13">
      <c r="A39" s="6"/>
      <c r="B39" s="6" t="s">
        <v>90</v>
      </c>
      <c r="D39" s="14">
        <v>4737</v>
      </c>
      <c r="E39" s="14">
        <v>3549</v>
      </c>
      <c r="F39" s="14">
        <v>2709</v>
      </c>
      <c r="G39" s="14">
        <v>2004</v>
      </c>
      <c r="H39" s="14">
        <v>1397</v>
      </c>
      <c r="I39" s="14">
        <v>844</v>
      </c>
      <c r="J39" s="14">
        <v>557</v>
      </c>
      <c r="K39" s="14">
        <v>391</v>
      </c>
      <c r="L39" s="14">
        <v>247</v>
      </c>
      <c r="M39" s="14">
        <v>204</v>
      </c>
    </row>
    <row r="40" spans="1:13">
      <c r="A40" s="6"/>
      <c r="B40" s="6" t="s">
        <v>91</v>
      </c>
      <c r="D40" s="14">
        <v>-834</v>
      </c>
      <c r="E40" s="14">
        <v>-395</v>
      </c>
      <c r="F40" s="14">
        <v>-398</v>
      </c>
      <c r="G40" s="14">
        <v>-399</v>
      </c>
      <c r="H40" s="14">
        <v>-395</v>
      </c>
      <c r="I40" s="14">
        <v>-390</v>
      </c>
      <c r="J40" s="14">
        <v>-371</v>
      </c>
      <c r="K40" s="14">
        <v>-341</v>
      </c>
      <c r="L40" s="14">
        <v>-261</v>
      </c>
      <c r="M40" s="14">
        <v>-213</v>
      </c>
    </row>
  </sheetData>
  <printOptions horizontalCentered="1"/>
  <pageMargins left="0.7" right="0.7" top="0.75" bottom="0.75" header="0.3" footer="0.3"/>
  <pageSetup fitToWidth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3FCF-1B4D-4642-BB05-53778C4FB987}">
  <sheetPr>
    <pageSetUpPr fitToPage="1"/>
  </sheetPr>
  <dimension ref="A1:N28"/>
  <sheetViews>
    <sheetView topLeftCell="A10" workbookViewId="0">
      <selection activeCell="I18" sqref="I18"/>
    </sheetView>
  </sheetViews>
  <sheetFormatPr defaultRowHeight="15"/>
  <cols>
    <col min="1" max="1" width="1.85546875" customWidth="1"/>
    <col min="2" max="2" width="31.42578125" customWidth="1"/>
    <col min="3" max="3" width="2" customWidth="1"/>
    <col min="4" max="5" width="10.5703125" bestFit="1" customWidth="1"/>
    <col min="6" max="8" width="9.42578125" bestFit="1" customWidth="1"/>
  </cols>
  <sheetData>
    <row r="1" spans="1:14" ht="8.25" customHeight="1"/>
    <row r="6" spans="1:14">
      <c r="B6" s="20" t="s">
        <v>92</v>
      </c>
      <c r="C6" s="24"/>
      <c r="D6" s="24"/>
      <c r="E6" s="24"/>
      <c r="F6" s="24"/>
      <c r="G6" s="24"/>
      <c r="H6" s="24"/>
    </row>
    <row r="7" spans="1:14">
      <c r="B7" s="2" t="s">
        <v>7</v>
      </c>
      <c r="C7" s="3"/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34"/>
      <c r="J7" s="34"/>
      <c r="K7" s="34"/>
      <c r="L7" s="34"/>
      <c r="M7" s="34"/>
      <c r="N7" s="34"/>
    </row>
    <row r="9" spans="1:14">
      <c r="B9" t="s">
        <v>40</v>
      </c>
      <c r="D9">
        <f>'Balance Sheet'!D10</f>
        <v>23065</v>
      </c>
      <c r="E9">
        <f>'Balance Sheet'!E10</f>
        <v>9999</v>
      </c>
      <c r="F9">
        <f>'Balance Sheet'!F10</f>
        <v>3827</v>
      </c>
      <c r="G9">
        <f>'Balance Sheet'!G10</f>
        <v>4650</v>
      </c>
      <c r="H9">
        <f>'Balance Sheet'!H10</f>
        <v>2429</v>
      </c>
    </row>
    <row r="10" spans="1:14">
      <c r="B10" t="s">
        <v>41</v>
      </c>
      <c r="D10">
        <f>'Balance Sheet'!D11</f>
        <v>10080</v>
      </c>
      <c r="E10">
        <f>'Balance Sheet'!E11</f>
        <v>5282</v>
      </c>
      <c r="F10">
        <f>'Balance Sheet'!F11</f>
        <v>5159</v>
      </c>
      <c r="G10">
        <f>'Balance Sheet'!G11</f>
        <v>2605</v>
      </c>
      <c r="H10">
        <f>'Balance Sheet'!H11</f>
        <v>1826</v>
      </c>
    </row>
    <row r="11" spans="1:14">
      <c r="B11" t="s">
        <v>42</v>
      </c>
      <c r="D11">
        <f>'Balance Sheet'!D12</f>
        <v>3771</v>
      </c>
      <c r="E11">
        <f>'Balance Sheet'!E12</f>
        <v>3080</v>
      </c>
      <c r="F11">
        <f>'Balance Sheet'!F12</f>
        <v>791</v>
      </c>
      <c r="G11">
        <f>'Balance Sheet'!G12</f>
        <v>366</v>
      </c>
      <c r="H11">
        <f>'Balance Sheet'!H12</f>
        <v>239</v>
      </c>
    </row>
    <row r="12" spans="1:14">
      <c r="A12" s="128"/>
      <c r="B12" s="132" t="s">
        <v>93</v>
      </c>
      <c r="C12" s="68"/>
      <c r="D12" s="68">
        <f>SUM(D9:D11)</f>
        <v>36916</v>
      </c>
      <c r="E12" s="68">
        <f t="shared" ref="E12:H12" si="0">SUM(E9:E11)</f>
        <v>18361</v>
      </c>
      <c r="F12" s="68">
        <f t="shared" si="0"/>
        <v>9777</v>
      </c>
      <c r="G12" s="68">
        <f t="shared" si="0"/>
        <v>7621</v>
      </c>
      <c r="H12" s="68">
        <f t="shared" si="0"/>
        <v>4494</v>
      </c>
    </row>
    <row r="13" spans="1:14">
      <c r="A13" s="38"/>
    </row>
    <row r="14" spans="1:14">
      <c r="A14" s="129"/>
      <c r="B14" s="131" t="s">
        <v>51</v>
      </c>
      <c r="C14" s="35"/>
      <c r="D14" s="35">
        <f>'Balance Sheet'!D22</f>
        <v>18047</v>
      </c>
      <c r="E14" s="35">
        <f>'Balance Sheet'!E22</f>
        <v>10631</v>
      </c>
      <c r="F14" s="35">
        <f>'Balance Sheet'!F22</f>
        <v>6563</v>
      </c>
      <c r="G14" s="35">
        <f>'Balance Sheet'!G22</f>
        <v>4335</v>
      </c>
      <c r="H14" s="35">
        <f>'Balance Sheet'!H22</f>
        <v>3925</v>
      </c>
    </row>
    <row r="15" spans="1:14">
      <c r="A15" s="38"/>
    </row>
    <row r="16" spans="1:14">
      <c r="A16" s="130"/>
      <c r="B16" s="133" t="s">
        <v>94</v>
      </c>
      <c r="C16" s="68"/>
      <c r="D16" s="68">
        <f>D12-D14</f>
        <v>18869</v>
      </c>
      <c r="E16" s="68">
        <f t="shared" ref="E16:H16" si="1">E12-E14</f>
        <v>7730</v>
      </c>
      <c r="F16" s="68">
        <f t="shared" si="1"/>
        <v>3214</v>
      </c>
      <c r="G16" s="68">
        <f t="shared" si="1"/>
        <v>3286</v>
      </c>
      <c r="H16" s="68">
        <f t="shared" si="1"/>
        <v>569</v>
      </c>
    </row>
    <row r="17" spans="1:8">
      <c r="A17" s="37"/>
      <c r="B17" s="38"/>
      <c r="C17" s="38"/>
      <c r="D17" s="38"/>
      <c r="E17" s="38"/>
      <c r="F17" s="38"/>
      <c r="G17" s="38"/>
      <c r="H17" s="38"/>
    </row>
    <row r="18" spans="1:8">
      <c r="A18" s="130"/>
      <c r="B18" s="22" t="s">
        <v>95</v>
      </c>
      <c r="D18" s="14" t="s">
        <v>19</v>
      </c>
      <c r="E18" s="14" t="s">
        <v>19</v>
      </c>
      <c r="F18" s="14" t="s">
        <v>19</v>
      </c>
      <c r="G18" s="14" t="s">
        <v>19</v>
      </c>
      <c r="H18" s="14" t="s">
        <v>19</v>
      </c>
    </row>
    <row r="19" spans="1:8">
      <c r="A19" s="38"/>
      <c r="B19" t="s">
        <v>96</v>
      </c>
      <c r="D19">
        <f>'Balance Sheet'!D15</f>
        <v>6283</v>
      </c>
      <c r="E19">
        <f>'Balance Sheet'!E15</f>
        <v>3914</v>
      </c>
      <c r="F19">
        <f>'Balance Sheet'!F15</f>
        <v>3807</v>
      </c>
      <c r="G19">
        <f>'Balance Sheet'!G15</f>
        <v>2778</v>
      </c>
      <c r="H19">
        <f>'Balance Sheet'!H15</f>
        <v>2149</v>
      </c>
    </row>
    <row r="20" spans="1:8">
      <c r="A20" s="38"/>
      <c r="B20" t="s">
        <v>47</v>
      </c>
      <c r="D20">
        <f>'Balance Sheet'!D17</f>
        <v>5995</v>
      </c>
      <c r="E20">
        <f>'Balance Sheet'!E17</f>
        <v>5542</v>
      </c>
      <c r="F20">
        <f>'Balance Sheet'!F17</f>
        <v>6048</v>
      </c>
      <c r="G20">
        <f>'Balance Sheet'!G17</f>
        <v>6688</v>
      </c>
      <c r="H20">
        <f>'Balance Sheet'!H17</f>
        <v>6930</v>
      </c>
    </row>
    <row r="21" spans="1:8">
      <c r="A21" s="38"/>
    </row>
    <row r="22" spans="1:8">
      <c r="A22" s="130"/>
      <c r="B22" s="135" t="s">
        <v>97</v>
      </c>
      <c r="C22" s="68"/>
      <c r="D22" s="68">
        <f>D16+D19+D20</f>
        <v>31147</v>
      </c>
      <c r="E22" s="68">
        <f t="shared" ref="E22:H22" si="2">E16+E19+E20</f>
        <v>17186</v>
      </c>
      <c r="F22" s="68">
        <f t="shared" si="2"/>
        <v>13069</v>
      </c>
      <c r="G22" s="68">
        <f t="shared" si="2"/>
        <v>12752</v>
      </c>
      <c r="H22" s="68">
        <f t="shared" si="2"/>
        <v>9648</v>
      </c>
    </row>
    <row r="23" spans="1:8">
      <c r="A23" s="37"/>
      <c r="C23" s="8"/>
      <c r="D23" s="8"/>
      <c r="E23" s="8"/>
      <c r="F23" s="8"/>
      <c r="G23" s="8"/>
      <c r="H23" s="8"/>
    </row>
    <row r="24" spans="1:8">
      <c r="A24" s="130"/>
      <c r="B24" s="133" t="s">
        <v>98</v>
      </c>
      <c r="C24" s="134"/>
      <c r="D24" s="134">
        <f>'Income Statement'!D27</f>
        <v>81453</v>
      </c>
      <c r="E24" s="134">
        <f>'Income Statement'!E27</f>
        <v>32972</v>
      </c>
      <c r="F24" s="134">
        <f>'Income Statement'!F27</f>
        <v>5577</v>
      </c>
      <c r="G24" s="134">
        <f>'Income Statement'!G27</f>
        <v>10041</v>
      </c>
      <c r="H24" s="134">
        <f>'Income Statement'!H27</f>
        <v>4532</v>
      </c>
    </row>
    <row r="25" spans="1:8">
      <c r="A25" s="38"/>
      <c r="B25" t="s">
        <v>99</v>
      </c>
      <c r="D25" s="36">
        <f>'Income Statement'!D36/'Income Statement'!D33</f>
        <v>0.13264941803727417</v>
      </c>
      <c r="E25" s="36">
        <f>'Income Statement'!E36/'Income Statement'!E33</f>
        <v>0.1199952687917677</v>
      </c>
      <c r="F25" s="36">
        <f>'Income Statement'!F36/'Income Statement'!F33</f>
        <v>-4.4726142071274816E-2</v>
      </c>
      <c r="G25" s="36">
        <f>'Income Statement'!G36/'Income Statement'!G33</f>
        <v>1.9012171813700834E-2</v>
      </c>
      <c r="H25" s="36">
        <f>'Income Statement'!H36/'Income Statement'!H33</f>
        <v>1.7464277613971423E-2</v>
      </c>
    </row>
    <row r="26" spans="1:8">
      <c r="A26" s="38"/>
      <c r="B26" t="s">
        <v>100</v>
      </c>
      <c r="D26" s="48">
        <f>D24*(1-D25)</f>
        <v>70648.306952609913</v>
      </c>
      <c r="E26" s="48">
        <f t="shared" ref="E26:H26" si="3">E24*(1-E25)</f>
        <v>29015.515997397837</v>
      </c>
      <c r="F26" s="48">
        <f t="shared" si="3"/>
        <v>5826.4376943314992</v>
      </c>
      <c r="G26" s="48">
        <f t="shared" si="3"/>
        <v>9850.0987828186298</v>
      </c>
      <c r="H26" s="48">
        <f t="shared" si="3"/>
        <v>4452.8518938534817</v>
      </c>
    </row>
    <row r="27" spans="1:8">
      <c r="A27" s="37"/>
      <c r="C27" s="8"/>
      <c r="D27" s="8"/>
      <c r="E27" s="8"/>
      <c r="F27" s="8"/>
      <c r="G27" s="8"/>
      <c r="H27" s="8"/>
    </row>
    <row r="28" spans="1:8">
      <c r="A28" s="38"/>
      <c r="B28" s="67" t="s">
        <v>101</v>
      </c>
      <c r="C28" s="68"/>
      <c r="D28" s="69">
        <f>D26/D22</f>
        <v>2.2682218818059496</v>
      </c>
      <c r="E28" s="69">
        <f>E26/E22</f>
        <v>1.6883228207493213</v>
      </c>
      <c r="F28" s="69">
        <f>F26/F22</f>
        <v>0.44582123301947352</v>
      </c>
      <c r="G28" s="69">
        <f>G26/G22</f>
        <v>0.77243560091112218</v>
      </c>
      <c r="H28" s="69">
        <f>H26/H22</f>
        <v>0.46153108352544381</v>
      </c>
    </row>
  </sheetData>
  <sortState xmlns:xlrd2="http://schemas.microsoft.com/office/spreadsheetml/2017/richdata2" columnSort="1" ref="D9:H12">
    <sortCondition ref="D12:H12"/>
  </sortState>
  <printOptions horizontalCentered="1"/>
  <pageMargins left="1" right="1" top="1" bottom="1" header="0.5" footer="0.5"/>
  <pageSetup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D6B2-87FB-428C-B0F6-BB4B0F1BF5D0}">
  <dimension ref="B1:K29"/>
  <sheetViews>
    <sheetView topLeftCell="A12" workbookViewId="0">
      <selection activeCell="F29" sqref="F29"/>
    </sheetView>
  </sheetViews>
  <sheetFormatPr defaultRowHeight="15"/>
  <cols>
    <col min="1" max="1" width="1.85546875" customWidth="1"/>
    <col min="2" max="2" width="36.5703125" bestFit="1" customWidth="1"/>
    <col min="3" max="3" width="9.5703125" bestFit="1" customWidth="1"/>
    <col min="5" max="5" width="14.28515625" bestFit="1" customWidth="1"/>
    <col min="7" max="7" width="20.7109375" bestFit="1" customWidth="1"/>
    <col min="10" max="10" width="36.5703125" bestFit="1" customWidth="1"/>
  </cols>
  <sheetData>
    <row r="1" spans="2:11" ht="9.75" customHeight="1"/>
    <row r="7" spans="2:11">
      <c r="B7" s="41" t="s">
        <v>102</v>
      </c>
      <c r="C7" s="24"/>
      <c r="D7" s="24"/>
      <c r="E7" s="41"/>
      <c r="G7" s="41" t="s">
        <v>103</v>
      </c>
      <c r="H7" s="24"/>
      <c r="I7" s="41"/>
      <c r="J7" s="41"/>
      <c r="K7" s="34"/>
    </row>
    <row r="8" spans="2:11">
      <c r="B8" t="s">
        <v>104</v>
      </c>
      <c r="E8" s="36">
        <v>4.2000000000000003E-2</v>
      </c>
      <c r="G8" t="s">
        <v>28</v>
      </c>
      <c r="I8" s="42"/>
      <c r="J8" s="42">
        <v>2573</v>
      </c>
    </row>
    <row r="9" spans="2:11">
      <c r="B9" t="s">
        <v>105</v>
      </c>
      <c r="E9">
        <v>1.7</v>
      </c>
      <c r="G9" t="s">
        <v>106</v>
      </c>
      <c r="I9" s="42"/>
      <c r="J9" s="42">
        <f>'Balance Sheet'!D23</f>
        <v>8463</v>
      </c>
    </row>
    <row r="10" spans="2:11">
      <c r="B10" t="s">
        <v>107</v>
      </c>
      <c r="E10" s="36">
        <v>5.8000000000000003E-2</v>
      </c>
      <c r="G10" t="s">
        <v>108</v>
      </c>
      <c r="I10" s="36"/>
      <c r="J10" s="43">
        <f>J8/J9</f>
        <v>0.304029304029304</v>
      </c>
    </row>
    <row r="11" spans="2:11">
      <c r="B11" s="1"/>
      <c r="E11" s="39"/>
      <c r="G11" t="s">
        <v>109</v>
      </c>
      <c r="I11" s="39"/>
      <c r="J11" s="39">
        <v>0.04</v>
      </c>
    </row>
    <row r="12" spans="2:11">
      <c r="G12" t="s">
        <v>99</v>
      </c>
      <c r="I12" s="36"/>
      <c r="J12" s="36">
        <f>ROIC!D25</f>
        <v>0.13264941803727417</v>
      </c>
    </row>
    <row r="13" spans="2:11">
      <c r="B13" s="136" t="s">
        <v>110</v>
      </c>
      <c r="C13" s="68"/>
      <c r="D13" s="68"/>
      <c r="E13" s="137">
        <f>E8+(E9*E10)</f>
        <v>0.1406</v>
      </c>
      <c r="G13" s="136" t="s">
        <v>111</v>
      </c>
      <c r="H13" s="68"/>
      <c r="I13" s="137"/>
      <c r="J13" s="137">
        <f>J11*(1-J12)</f>
        <v>3.4694023278509033E-2</v>
      </c>
    </row>
    <row r="15" spans="2:11">
      <c r="B15" s="41" t="s">
        <v>112</v>
      </c>
      <c r="C15" s="41"/>
      <c r="D15" s="40"/>
      <c r="E15" s="40"/>
    </row>
    <row r="16" spans="2:11">
      <c r="B16" t="s">
        <v>113</v>
      </c>
      <c r="E16">
        <v>110</v>
      </c>
    </row>
    <row r="17" spans="2:5">
      <c r="B17" t="s">
        <v>35</v>
      </c>
      <c r="C17" s="42"/>
      <c r="E17" s="42">
        <v>24804</v>
      </c>
    </row>
    <row r="18" spans="2:5">
      <c r="B18" s="1" t="s">
        <v>114</v>
      </c>
      <c r="C18" s="42"/>
      <c r="E18" s="8">
        <v>2728440</v>
      </c>
    </row>
    <row r="19" spans="2:5">
      <c r="B19" t="s">
        <v>106</v>
      </c>
      <c r="C19" s="42"/>
      <c r="E19" s="42">
        <v>8463</v>
      </c>
    </row>
    <row r="20" spans="2:5">
      <c r="B20" s="1" t="s">
        <v>115</v>
      </c>
      <c r="C20" s="42"/>
      <c r="E20" s="8">
        <v>2736903</v>
      </c>
    </row>
    <row r="21" spans="2:5">
      <c r="B21" s="57" t="s">
        <v>116</v>
      </c>
      <c r="C21" s="54"/>
      <c r="D21" s="57"/>
      <c r="E21" s="54">
        <f>E18/E20</f>
        <v>0.99690781880103163</v>
      </c>
    </row>
    <row r="22" spans="2:5">
      <c r="B22" s="57" t="s">
        <v>117</v>
      </c>
      <c r="C22" s="54"/>
      <c r="D22" s="57"/>
      <c r="E22" s="54">
        <f>E19/E20</f>
        <v>3.092181198968323E-3</v>
      </c>
    </row>
    <row r="24" spans="2:5">
      <c r="B24" s="45" t="s">
        <v>118</v>
      </c>
      <c r="C24" s="24"/>
      <c r="D24" s="24"/>
      <c r="E24" s="24"/>
    </row>
    <row r="25" spans="2:5">
      <c r="B25" t="s">
        <v>110</v>
      </c>
      <c r="C25" s="36"/>
      <c r="E25" s="36">
        <v>0.1406</v>
      </c>
    </row>
    <row r="26" spans="2:5">
      <c r="B26" t="s">
        <v>119</v>
      </c>
      <c r="C26" s="36"/>
      <c r="E26" s="36">
        <v>0.99690000000000001</v>
      </c>
    </row>
    <row r="27" spans="2:5">
      <c r="B27" t="s">
        <v>120</v>
      </c>
      <c r="C27" s="36"/>
      <c r="E27" s="36">
        <v>3.4700000000000002E-2</v>
      </c>
    </row>
    <row r="28" spans="2:5">
      <c r="B28" t="s">
        <v>121</v>
      </c>
      <c r="C28" s="36"/>
      <c r="E28" s="36">
        <v>3.0999999999999999E-3</v>
      </c>
    </row>
    <row r="29" spans="2:5">
      <c r="B29" s="146" t="s">
        <v>122</v>
      </c>
      <c r="C29" s="136"/>
      <c r="D29" s="136"/>
      <c r="E29" s="137">
        <f>(E26*E25)+(E28*E27)</f>
        <v>0.14027170999999999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539A-41E0-44E5-9BAC-AB6899DFA2F8}">
  <sheetPr>
    <pageSetUpPr fitToPage="1"/>
  </sheetPr>
  <dimension ref="B1:H14"/>
  <sheetViews>
    <sheetView workbookViewId="0">
      <selection activeCell="I15" sqref="I15"/>
    </sheetView>
  </sheetViews>
  <sheetFormatPr defaultRowHeight="15"/>
  <cols>
    <col min="1" max="1" width="1.5703125" customWidth="1"/>
    <col min="2" max="2" width="28.85546875" customWidth="1"/>
    <col min="3" max="3" width="2.42578125" customWidth="1"/>
    <col min="4" max="9" width="15.5703125" customWidth="1"/>
  </cols>
  <sheetData>
    <row r="1" spans="2:8" ht="9.75" customHeight="1"/>
    <row r="6" spans="2:8">
      <c r="B6" s="46" t="s">
        <v>123</v>
      </c>
      <c r="C6" s="46"/>
      <c r="D6" s="41"/>
      <c r="E6" s="41"/>
      <c r="F6" s="41"/>
      <c r="G6" s="41"/>
      <c r="H6" s="41"/>
    </row>
    <row r="7" spans="2:8">
      <c r="B7" s="1"/>
      <c r="C7" s="1"/>
      <c r="D7" s="50" t="s">
        <v>8</v>
      </c>
      <c r="E7" s="50" t="s">
        <v>124</v>
      </c>
      <c r="F7" s="50" t="s">
        <v>125</v>
      </c>
      <c r="G7" s="50" t="s">
        <v>126</v>
      </c>
      <c r="H7" s="50" t="s">
        <v>127</v>
      </c>
    </row>
    <row r="8" spans="2:8">
      <c r="B8" t="s">
        <v>128</v>
      </c>
      <c r="D8" s="8">
        <f>ROIC!D24</f>
        <v>81453</v>
      </c>
      <c r="E8" s="8">
        <f>ROIC!E24</f>
        <v>32972</v>
      </c>
      <c r="F8" s="8">
        <f>ROIC!F24</f>
        <v>5577</v>
      </c>
      <c r="G8" s="8">
        <f>ROIC!G24</f>
        <v>10041</v>
      </c>
      <c r="H8" s="8">
        <f>ROIC!H24</f>
        <v>4532</v>
      </c>
    </row>
    <row r="9" spans="2:8">
      <c r="B9" t="s">
        <v>99</v>
      </c>
      <c r="D9" s="36">
        <f>ROIC!D25</f>
        <v>0.13264941803727417</v>
      </c>
      <c r="E9" s="36">
        <f>ROIC!E25</f>
        <v>0.1199952687917677</v>
      </c>
      <c r="F9" s="36">
        <f>ROIC!F25</f>
        <v>-4.4726142071274816E-2</v>
      </c>
      <c r="G9" s="36">
        <f>ROIC!G25</f>
        <v>1.9012171813700834E-2</v>
      </c>
      <c r="H9" s="36">
        <f>ROIC!H25</f>
        <v>1.7464277613971423E-2</v>
      </c>
    </row>
    <row r="10" spans="2:8">
      <c r="B10" t="s">
        <v>100</v>
      </c>
      <c r="D10" s="48">
        <f>ROIC!D26</f>
        <v>70648.306952609913</v>
      </c>
      <c r="E10" s="48">
        <f>ROIC!E26</f>
        <v>29015.515997397837</v>
      </c>
      <c r="F10" s="48">
        <f>ROIC!F26</f>
        <v>5826.4376943314992</v>
      </c>
      <c r="G10" s="48">
        <f>ROIC!G26</f>
        <v>9850.0987828186298</v>
      </c>
      <c r="H10" s="48">
        <f>ROIC!H26</f>
        <v>4452.8518938534817</v>
      </c>
    </row>
    <row r="11" spans="2:8">
      <c r="B11" t="s">
        <v>129</v>
      </c>
      <c r="D11">
        <f>'Cash Flow'!D10</f>
        <v>1864</v>
      </c>
      <c r="E11">
        <f>'Cash Flow'!E10</f>
        <v>1508</v>
      </c>
      <c r="F11">
        <f>'Cash Flow'!F10</f>
        <v>1544</v>
      </c>
      <c r="G11">
        <f>'Cash Flow'!G10</f>
        <v>1174</v>
      </c>
      <c r="H11">
        <f>'Cash Flow'!H10</f>
        <v>1098</v>
      </c>
    </row>
    <row r="12" spans="2:8">
      <c r="B12" t="s">
        <v>130</v>
      </c>
      <c r="D12">
        <f>3236</f>
        <v>3236</v>
      </c>
      <c r="E12">
        <f>3236</f>
        <v>3236</v>
      </c>
      <c r="F12">
        <f>3236</f>
        <v>3236</v>
      </c>
      <c r="G12">
        <f>3236</f>
        <v>3236</v>
      </c>
      <c r="H12">
        <f>3236</f>
        <v>3236</v>
      </c>
    </row>
    <row r="13" spans="2:8">
      <c r="B13" t="s">
        <v>131</v>
      </c>
      <c r="D13">
        <f>ROIC!D16-ROIC!E16</f>
        <v>11139</v>
      </c>
      <c r="E13">
        <f>ROIC!E16-ROIC!F16</f>
        <v>4516</v>
      </c>
      <c r="F13">
        <f>ROIC!F16-ROIC!G16</f>
        <v>-72</v>
      </c>
      <c r="G13">
        <f>ROIC!G16-ROIC!H16</f>
        <v>2717</v>
      </c>
      <c r="H13">
        <f>ROIC!H16-ROIC!I16</f>
        <v>569</v>
      </c>
    </row>
    <row r="14" spans="2:8">
      <c r="B14" s="62" t="s">
        <v>132</v>
      </c>
      <c r="C14" s="62"/>
      <c r="D14" s="66">
        <f>D10+D11-D12-D13</f>
        <v>58137.306952609913</v>
      </c>
      <c r="E14" s="66">
        <f t="shared" ref="E14:H14" si="0">E10+E11-E12-E13</f>
        <v>22771.515997397837</v>
      </c>
      <c r="F14" s="66">
        <f t="shared" si="0"/>
        <v>4206.4376943314992</v>
      </c>
      <c r="G14" s="66">
        <f t="shared" si="0"/>
        <v>5071.0987828186298</v>
      </c>
      <c r="H14" s="66">
        <f t="shared" si="0"/>
        <v>1745.8518938534817</v>
      </c>
    </row>
  </sheetData>
  <pageMargins left="1" right="1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52B2-32D7-4DF9-B753-3A4AAFA5A1EB}">
  <sheetPr>
    <pageSetUpPr fitToPage="1"/>
  </sheetPr>
  <dimension ref="B1:L50"/>
  <sheetViews>
    <sheetView topLeftCell="A34" workbookViewId="0">
      <selection activeCell="H45" sqref="H45"/>
    </sheetView>
  </sheetViews>
  <sheetFormatPr defaultRowHeight="15"/>
  <cols>
    <col min="1" max="1" width="1.5703125" customWidth="1"/>
    <col min="2" max="2" width="33.7109375" bestFit="1" customWidth="1"/>
    <col min="3" max="3" width="2.140625" customWidth="1"/>
    <col min="4" max="11" width="11.5703125" customWidth="1"/>
  </cols>
  <sheetData>
    <row r="1" spans="2:12" ht="7.5" customHeight="1"/>
    <row r="7" spans="2:12">
      <c r="B7" s="41" t="s">
        <v>133</v>
      </c>
      <c r="C7" s="41"/>
      <c r="D7" s="41"/>
      <c r="E7" s="41"/>
      <c r="F7" s="41"/>
      <c r="G7" s="41"/>
      <c r="H7" s="41"/>
      <c r="I7" s="24"/>
      <c r="J7" s="24"/>
      <c r="K7" s="24"/>
    </row>
    <row r="8" spans="2:12">
      <c r="B8" s="50"/>
      <c r="C8" s="50"/>
      <c r="D8" s="50"/>
      <c r="E8" s="50" t="s">
        <v>134</v>
      </c>
      <c r="F8" s="50"/>
      <c r="G8" s="50"/>
      <c r="H8" s="50" t="s">
        <v>135</v>
      </c>
      <c r="I8" s="50" t="s">
        <v>136</v>
      </c>
      <c r="J8" s="50" t="s">
        <v>137</v>
      </c>
      <c r="K8" s="50" t="s">
        <v>138</v>
      </c>
    </row>
    <row r="9" spans="2:12">
      <c r="B9" t="s">
        <v>18</v>
      </c>
      <c r="D9" s="8"/>
      <c r="E9" s="53">
        <f>'Income Statement'!D9</f>
        <v>130497</v>
      </c>
      <c r="F9" s="8"/>
      <c r="G9" s="8"/>
      <c r="H9" s="48">
        <f>E9*(1+H10)</f>
        <v>169646.1</v>
      </c>
      <c r="I9" s="48">
        <f t="shared" ref="I9:K9" si="0">H9*(1+I10)</f>
        <v>212057.625</v>
      </c>
      <c r="J9" s="48">
        <f t="shared" si="0"/>
        <v>254469.15</v>
      </c>
      <c r="K9" s="48">
        <f t="shared" si="0"/>
        <v>292639.52249999996</v>
      </c>
    </row>
    <row r="10" spans="2:12">
      <c r="B10" t="s">
        <v>139</v>
      </c>
      <c r="D10" s="36"/>
      <c r="E10" s="54">
        <f>'Income Statement'!D10</f>
        <v>1.1420340763599357</v>
      </c>
      <c r="F10" s="36"/>
      <c r="G10" s="36"/>
      <c r="H10" s="48">
        <v>0.3</v>
      </c>
      <c r="I10" s="48">
        <v>0.25</v>
      </c>
      <c r="J10" s="48">
        <v>0.2</v>
      </c>
      <c r="K10" s="48">
        <v>0.15</v>
      </c>
    </row>
    <row r="11" spans="2:12">
      <c r="B11" t="s">
        <v>128</v>
      </c>
      <c r="D11" s="8"/>
      <c r="E11" s="53">
        <f>'Income Statement'!D27</f>
        <v>81453</v>
      </c>
      <c r="F11" s="8"/>
      <c r="G11" s="8"/>
      <c r="H11" s="48">
        <f>H9*H12</f>
        <v>101787.66</v>
      </c>
      <c r="I11" s="48">
        <f t="shared" ref="I11:K11" si="1">I9*I12</f>
        <v>122993.42249999999</v>
      </c>
      <c r="J11" s="48">
        <f t="shared" si="1"/>
        <v>142502.72400000002</v>
      </c>
      <c r="K11" s="48">
        <f t="shared" si="1"/>
        <v>160951.737375</v>
      </c>
    </row>
    <row r="12" spans="2:12">
      <c r="B12" t="s">
        <v>140</v>
      </c>
      <c r="D12" s="49"/>
      <c r="E12" s="55">
        <f>'Income Statement'!D28</f>
        <v>0.62417526839697468</v>
      </c>
      <c r="F12" s="49"/>
      <c r="G12" s="49"/>
      <c r="H12" s="164">
        <v>0.6</v>
      </c>
      <c r="I12" s="164">
        <v>0.57999999999999996</v>
      </c>
      <c r="J12" s="164">
        <v>0.56000000000000005</v>
      </c>
      <c r="K12" s="164">
        <v>0.55000000000000004</v>
      </c>
    </row>
    <row r="13" spans="2:12">
      <c r="B13" t="s">
        <v>99</v>
      </c>
      <c r="D13" s="36"/>
      <c r="E13" s="54">
        <v>0.13264941803727417</v>
      </c>
      <c r="F13" s="36"/>
      <c r="G13" s="36"/>
      <c r="H13" s="48">
        <v>0.21</v>
      </c>
      <c r="I13" s="48">
        <v>0.21</v>
      </c>
      <c r="J13" s="48">
        <v>0.21</v>
      </c>
      <c r="K13" s="48">
        <v>0.21</v>
      </c>
      <c r="L13" s="36"/>
    </row>
    <row r="14" spans="2:12">
      <c r="B14" t="s">
        <v>100</v>
      </c>
      <c r="D14" s="48"/>
      <c r="E14" s="56">
        <v>70648.306952609913</v>
      </c>
      <c r="F14" s="48"/>
      <c r="G14" s="48"/>
      <c r="H14" s="48">
        <f>H11*(1-H13)</f>
        <v>80412.251400000008</v>
      </c>
      <c r="I14" s="48">
        <f t="shared" ref="I14:K14" si="2">I11*(1-I13)</f>
        <v>97164.803774999993</v>
      </c>
      <c r="J14" s="48">
        <f t="shared" si="2"/>
        <v>112577.15196000002</v>
      </c>
      <c r="K14" s="48">
        <f t="shared" si="2"/>
        <v>127151.87252625001</v>
      </c>
    </row>
    <row r="15" spans="2:12">
      <c r="B15" t="s">
        <v>141</v>
      </c>
      <c r="E15" s="57">
        <v>1864</v>
      </c>
      <c r="H15" s="48">
        <f>H9*E16</f>
        <v>2423.2000000000003</v>
      </c>
      <c r="I15" s="48">
        <f>I9*H16</f>
        <v>3029.0000000000005</v>
      </c>
      <c r="J15" s="48">
        <f t="shared" ref="I15:K15" si="3">J9*I16</f>
        <v>3634.8000000000006</v>
      </c>
      <c r="K15" s="48">
        <f t="shared" si="3"/>
        <v>4180.0200000000004</v>
      </c>
    </row>
    <row r="16" spans="2:12">
      <c r="B16" t="s">
        <v>142</v>
      </c>
      <c r="E16" s="58">
        <f>E15/E9</f>
        <v>1.4283853268657517E-2</v>
      </c>
      <c r="H16" s="48">
        <f>H15/H9</f>
        <v>1.4283853268657519E-2</v>
      </c>
      <c r="I16" s="48">
        <f>I15/I9</f>
        <v>1.4283853268657519E-2</v>
      </c>
      <c r="J16" s="48">
        <f>J15/J9</f>
        <v>1.4283853268657521E-2</v>
      </c>
      <c r="K16" s="48">
        <f>K15/K9</f>
        <v>1.4283853268657521E-2</v>
      </c>
    </row>
    <row r="17" spans="2:12">
      <c r="B17" t="s">
        <v>143</v>
      </c>
      <c r="E17" s="59">
        <f>E18/E9</f>
        <v>2.4797504923484832E-2</v>
      </c>
      <c r="H17" s="48"/>
      <c r="I17" s="48"/>
      <c r="J17" s="48"/>
      <c r="K17" s="48"/>
    </row>
    <row r="18" spans="2:12">
      <c r="B18" t="s">
        <v>144</v>
      </c>
      <c r="E18" s="57">
        <f>3236</f>
        <v>3236</v>
      </c>
      <c r="H18" s="48">
        <f>H9*$E$17</f>
        <v>4206.8</v>
      </c>
      <c r="I18" s="48">
        <f t="shared" ref="I18:K18" si="4">I9*$E$17</f>
        <v>5258.5</v>
      </c>
      <c r="J18" s="48">
        <f t="shared" si="4"/>
        <v>6310.2</v>
      </c>
      <c r="K18" s="48">
        <f t="shared" si="4"/>
        <v>7256.73</v>
      </c>
    </row>
    <row r="19" spans="2:12">
      <c r="B19" t="s">
        <v>145</v>
      </c>
      <c r="E19" s="60">
        <f>E20/E9</f>
        <v>0.14459336229951647</v>
      </c>
      <c r="H19" s="48"/>
      <c r="I19" s="48"/>
      <c r="J19" s="48"/>
      <c r="K19" s="48"/>
    </row>
    <row r="20" spans="2:12">
      <c r="B20" t="s">
        <v>146</v>
      </c>
      <c r="E20" s="57">
        <f>ROIC!D16</f>
        <v>18869</v>
      </c>
      <c r="H20" s="48">
        <f>H9*$E$19</f>
        <v>24529.7</v>
      </c>
      <c r="I20" s="48">
        <f>I9*$E$19</f>
        <v>30662.125</v>
      </c>
      <c r="J20" s="48">
        <f>J9*$E$19</f>
        <v>36794.550000000003</v>
      </c>
      <c r="K20" s="48">
        <f>K9*$E$19</f>
        <v>42313.732499999998</v>
      </c>
    </row>
    <row r="21" spans="2:12">
      <c r="B21" s="5" t="s">
        <v>147</v>
      </c>
      <c r="C21" s="1"/>
      <c r="D21" s="1"/>
      <c r="E21" s="57"/>
      <c r="F21" s="1"/>
      <c r="G21" s="1"/>
      <c r="H21" s="48">
        <f>H20-E20</f>
        <v>5660.7000000000007</v>
      </c>
      <c r="I21" s="48">
        <f>I20-H20</f>
        <v>6132.4249999999993</v>
      </c>
      <c r="J21" s="48">
        <f t="shared" ref="I21:J21" si="5">J20-I20</f>
        <v>6132.4250000000029</v>
      </c>
      <c r="K21" s="48">
        <f>K20-J20</f>
        <v>5519.1824999999953</v>
      </c>
    </row>
    <row r="22" spans="2:12">
      <c r="B22" s="50" t="s">
        <v>148</v>
      </c>
      <c r="C22" s="51"/>
      <c r="D22" s="51"/>
      <c r="E22" s="61">
        <f>E14+E15-E18-E20</f>
        <v>50407.306952609913</v>
      </c>
      <c r="F22" s="51"/>
      <c r="G22" s="51"/>
      <c r="H22" s="52">
        <f>H14+H15-H18-H21</f>
        <v>72967.951400000005</v>
      </c>
      <c r="I22" s="52">
        <f t="shared" ref="I22:K22" si="6">I14+I15-I18-I21</f>
        <v>88802.87877499999</v>
      </c>
      <c r="J22" s="52">
        <f t="shared" si="6"/>
        <v>103769.32696000002</v>
      </c>
      <c r="K22" s="52">
        <f t="shared" si="6"/>
        <v>118555.98002625002</v>
      </c>
    </row>
    <row r="23" spans="2:12">
      <c r="B23" s="5" t="s">
        <v>149</v>
      </c>
      <c r="C23" s="1"/>
      <c r="D23" s="1"/>
      <c r="E23" s="34"/>
      <c r="F23" s="1"/>
      <c r="G23" s="1"/>
      <c r="H23" s="65">
        <f>1/(1+$E$28)^1</f>
        <v>0.8769839602527717</v>
      </c>
      <c r="I23" s="65">
        <f>1/(1+$E$28)^2</f>
        <v>0.76910086654063514</v>
      </c>
      <c r="J23" s="65">
        <f>1/(1+$E$28)^3</f>
        <v>0.67448912377264469</v>
      </c>
      <c r="K23" s="65">
        <f>1/(1+$E$28)^4</f>
        <v>0.59151614291355592</v>
      </c>
    </row>
    <row r="24" spans="2:12">
      <c r="B24" s="5" t="s">
        <v>150</v>
      </c>
      <c r="H24" s="8">
        <f>H22*H23</f>
        <v>63991.722990303781</v>
      </c>
      <c r="I24" s="8">
        <f t="shared" ref="I24:K24" si="7">I22*I23</f>
        <v>68298.37101715547</v>
      </c>
      <c r="J24" s="8">
        <f>J22*J23</f>
        <v>69991.282415727488</v>
      </c>
      <c r="K24" s="8">
        <f t="shared" si="7"/>
        <v>70127.776024463994</v>
      </c>
    </row>
    <row r="25" spans="2:12">
      <c r="H25" s="49"/>
    </row>
    <row r="26" spans="2:12">
      <c r="B26" s="57" t="s">
        <v>151</v>
      </c>
      <c r="C26" s="57"/>
      <c r="D26" s="57"/>
      <c r="E26" s="57"/>
      <c r="H26" s="49"/>
    </row>
    <row r="27" spans="2:12">
      <c r="B27" s="57" t="s">
        <v>152</v>
      </c>
      <c r="C27" s="57"/>
      <c r="D27" s="57"/>
      <c r="E27" s="54">
        <v>2.5000000000000001E-2</v>
      </c>
      <c r="H27" s="49"/>
    </row>
    <row r="28" spans="2:12">
      <c r="B28" s="62" t="s">
        <v>153</v>
      </c>
      <c r="C28" s="62"/>
      <c r="D28" s="62"/>
      <c r="E28" s="63">
        <f>WACC!E29</f>
        <v>0.14027170999999999</v>
      </c>
    </row>
    <row r="30" spans="2:12">
      <c r="B30" s="20" t="s">
        <v>154</v>
      </c>
      <c r="C30" s="24"/>
      <c r="D30" s="24"/>
      <c r="E30" s="24"/>
      <c r="F30" s="34"/>
      <c r="G30" s="46" t="s">
        <v>155</v>
      </c>
      <c r="H30" s="24"/>
      <c r="I30" s="24"/>
      <c r="J30" s="24"/>
      <c r="K30" s="24"/>
    </row>
    <row r="31" spans="2:12">
      <c r="B31" t="s">
        <v>156</v>
      </c>
      <c r="E31" s="47">
        <f>E27</f>
        <v>2.5000000000000001E-2</v>
      </c>
      <c r="F31" s="34"/>
      <c r="G31" s="74" t="s">
        <v>157</v>
      </c>
      <c r="H31" s="166">
        <v>1.4999999999999999E-2</v>
      </c>
      <c r="I31" s="166">
        <v>0.02</v>
      </c>
      <c r="J31" s="166">
        <v>2.5000000000000001E-2</v>
      </c>
      <c r="K31" s="166">
        <v>0.03</v>
      </c>
      <c r="L31" s="39"/>
    </row>
    <row r="32" spans="2:12">
      <c r="B32" t="s">
        <v>122</v>
      </c>
      <c r="E32" s="65">
        <f>E28</f>
        <v>0.14027170999999999</v>
      </c>
      <c r="F32" s="34"/>
      <c r="G32" s="165">
        <v>0.12</v>
      </c>
      <c r="H32">
        <v>48</v>
      </c>
      <c r="I32">
        <v>52</v>
      </c>
      <c r="J32">
        <v>57</v>
      </c>
      <c r="K32">
        <v>63</v>
      </c>
    </row>
    <row r="33" spans="2:11">
      <c r="E33" s="65">
        <f>E32-E31</f>
        <v>0.11527171</v>
      </c>
      <c r="F33" s="34"/>
      <c r="G33" s="165">
        <v>0.13</v>
      </c>
      <c r="H33">
        <v>41</v>
      </c>
      <c r="I33">
        <v>44</v>
      </c>
      <c r="J33">
        <v>48</v>
      </c>
      <c r="K33">
        <v>52</v>
      </c>
    </row>
    <row r="34" spans="2:11">
      <c r="B34" t="s">
        <v>158</v>
      </c>
      <c r="E34" s="48">
        <f>K22</f>
        <v>118555.98002625002</v>
      </c>
      <c r="F34" s="34"/>
      <c r="G34" s="165">
        <v>0.14000000000000001</v>
      </c>
      <c r="H34">
        <v>34</v>
      </c>
      <c r="I34">
        <v>36</v>
      </c>
      <c r="J34">
        <v>38</v>
      </c>
      <c r="K34">
        <v>41</v>
      </c>
    </row>
    <row r="35" spans="2:11">
      <c r="B35" t="s">
        <v>159</v>
      </c>
      <c r="E35" s="11">
        <f>K22 * (1 + 2.5%)</f>
        <v>121519.87952690627</v>
      </c>
      <c r="F35" s="34"/>
      <c r="G35" s="165">
        <v>0.15</v>
      </c>
      <c r="H35">
        <v>30</v>
      </c>
      <c r="I35">
        <v>32</v>
      </c>
      <c r="J35">
        <v>34</v>
      </c>
      <c r="K35">
        <v>36</v>
      </c>
    </row>
    <row r="36" spans="2:11">
      <c r="F36" s="34"/>
      <c r="G36" s="165">
        <v>0.16</v>
      </c>
      <c r="H36">
        <v>26</v>
      </c>
      <c r="I36">
        <v>28</v>
      </c>
      <c r="J36">
        <v>30</v>
      </c>
      <c r="K36">
        <v>32</v>
      </c>
    </row>
    <row r="37" spans="2:11">
      <c r="B37" s="62" t="s">
        <v>160</v>
      </c>
      <c r="C37" s="62"/>
      <c r="D37" s="62"/>
      <c r="E37" s="66">
        <f>E35/E33</f>
        <v>1054203.8417483896</v>
      </c>
      <c r="F37" s="34"/>
    </row>
    <row r="38" spans="2:11">
      <c r="B38" s="139" t="s">
        <v>161</v>
      </c>
      <c r="C38" s="62"/>
      <c r="D38" s="62"/>
      <c r="E38" s="66">
        <f>(1+14%)^4</f>
        <v>1.6889601600000008</v>
      </c>
      <c r="F38" s="34"/>
    </row>
    <row r="39" spans="2:11">
      <c r="B39" s="1"/>
      <c r="C39" s="1"/>
      <c r="D39" s="1"/>
      <c r="E39" s="64"/>
      <c r="F39" s="34"/>
    </row>
    <row r="40" spans="2:11">
      <c r="B40" s="20" t="s">
        <v>162</v>
      </c>
      <c r="C40" s="24"/>
      <c r="D40" s="24"/>
      <c r="E40" s="24"/>
      <c r="F40" s="34"/>
    </row>
    <row r="41" spans="2:11">
      <c r="B41" t="s">
        <v>150</v>
      </c>
      <c r="E41" s="48">
        <f>SUM(H24:K24)</f>
        <v>272409.15244765073</v>
      </c>
    </row>
    <row r="42" spans="2:11">
      <c r="B42" t="s">
        <v>163</v>
      </c>
      <c r="E42" s="48">
        <f>E37/E38</f>
        <v>624173.30302710587</v>
      </c>
    </row>
    <row r="45" spans="2:11">
      <c r="B45" s="62" t="s">
        <v>164</v>
      </c>
      <c r="C45" s="62"/>
      <c r="D45" s="62"/>
      <c r="E45" s="66">
        <f>E41+E42</f>
        <v>896582.45547475666</v>
      </c>
    </row>
    <row r="46" spans="2:11">
      <c r="B46" t="s">
        <v>165</v>
      </c>
      <c r="E46">
        <f>'Balance Sheet'!D9</f>
        <v>43210</v>
      </c>
    </row>
    <row r="47" spans="2:11">
      <c r="B47" t="s">
        <v>166</v>
      </c>
      <c r="E47">
        <f>'Balance Sheet'!D23</f>
        <v>8463</v>
      </c>
    </row>
    <row r="48" spans="2:11">
      <c r="B48" s="5" t="s">
        <v>167</v>
      </c>
      <c r="E48" s="48">
        <f>E45+E46-E47</f>
        <v>931329.45547475666</v>
      </c>
    </row>
    <row r="49" spans="2:5">
      <c r="B49" t="s">
        <v>35</v>
      </c>
      <c r="E49" s="8">
        <f>'Income Statement'!D51</f>
        <v>24804</v>
      </c>
    </row>
    <row r="50" spans="2:5">
      <c r="B50" s="138" t="s">
        <v>168</v>
      </c>
      <c r="C50" s="138"/>
      <c r="D50" s="138"/>
      <c r="E50" s="138">
        <f>E48/E49</f>
        <v>37.547551018979064</v>
      </c>
    </row>
  </sheetData>
  <printOptions horizontalCentered="1" verticalCentered="1"/>
  <pageMargins left="0.7" right="0.7" top="0.75" bottom="0.75" header="0.3" footer="0.3"/>
  <pageSetup fitToWidth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C3EF-3811-40EB-B6C2-11ACFC50A94D}">
  <sheetPr>
    <pageSetUpPr fitToPage="1"/>
  </sheetPr>
  <dimension ref="B1:P73"/>
  <sheetViews>
    <sheetView topLeftCell="A31" workbookViewId="0">
      <selection activeCell="Q43" sqref="Q43"/>
    </sheetView>
  </sheetViews>
  <sheetFormatPr defaultRowHeight="15"/>
  <cols>
    <col min="1" max="1" width="1.140625" customWidth="1"/>
    <col min="2" max="2" width="22.28515625" customWidth="1"/>
    <col min="3" max="3" width="2.7109375" customWidth="1"/>
    <col min="4" max="8" width="12" style="14" customWidth="1"/>
    <col min="9" max="9" width="7.28515625" customWidth="1"/>
    <col min="10" max="12" width="9.5703125" customWidth="1"/>
    <col min="13" max="13" width="7.7109375" customWidth="1"/>
    <col min="14" max="16" width="12.42578125" customWidth="1"/>
  </cols>
  <sheetData>
    <row r="1" spans="2:16" ht="8.25" customHeight="1"/>
    <row r="7" spans="2:16">
      <c r="B7" s="20" t="s">
        <v>169</v>
      </c>
      <c r="C7" s="24"/>
      <c r="D7" s="120"/>
      <c r="E7" s="120"/>
      <c r="F7" s="120"/>
      <c r="G7" s="120"/>
      <c r="H7" s="120"/>
      <c r="I7" s="24"/>
      <c r="J7" s="24"/>
      <c r="K7" s="24"/>
      <c r="L7" s="24"/>
      <c r="M7" s="24"/>
      <c r="N7" s="24"/>
      <c r="O7" s="24"/>
      <c r="P7" s="24"/>
    </row>
    <row r="8" spans="2:16">
      <c r="B8" s="70"/>
      <c r="C8" s="70"/>
      <c r="D8" s="167" t="s">
        <v>170</v>
      </c>
      <c r="E8" s="168"/>
      <c r="F8" s="168"/>
      <c r="G8" s="168"/>
      <c r="H8" s="168"/>
      <c r="I8" s="70"/>
      <c r="J8" s="167" t="s">
        <v>171</v>
      </c>
      <c r="K8" s="168"/>
      <c r="L8" s="168"/>
      <c r="M8" s="70"/>
      <c r="N8" s="167" t="s">
        <v>172</v>
      </c>
      <c r="O8" s="168"/>
      <c r="P8" s="168"/>
    </row>
    <row r="9" spans="2:16" ht="30.75">
      <c r="B9" s="71" t="s">
        <v>173</v>
      </c>
      <c r="C9" s="71"/>
      <c r="D9" s="85" t="s">
        <v>113</v>
      </c>
      <c r="E9" s="121" t="s">
        <v>35</v>
      </c>
      <c r="F9" s="87" t="s">
        <v>174</v>
      </c>
      <c r="G9" s="86" t="s">
        <v>175</v>
      </c>
      <c r="H9" s="87" t="s">
        <v>164</v>
      </c>
      <c r="I9" s="86"/>
      <c r="J9" s="86" t="s">
        <v>18</v>
      </c>
      <c r="K9" s="86" t="s">
        <v>33</v>
      </c>
      <c r="L9" s="87" t="s">
        <v>32</v>
      </c>
      <c r="M9" s="86"/>
      <c r="N9" s="86" t="s">
        <v>176</v>
      </c>
      <c r="O9" s="86" t="s">
        <v>177</v>
      </c>
      <c r="P9" s="88" t="s">
        <v>178</v>
      </c>
    </row>
    <row r="10" spans="2:16">
      <c r="B10" s="74" t="s">
        <v>2</v>
      </c>
      <c r="C10" s="74"/>
      <c r="D10" s="89">
        <v>110</v>
      </c>
      <c r="E10" s="90">
        <v>24804</v>
      </c>
      <c r="F10" s="91">
        <f>E10*D10</f>
        <v>2728440</v>
      </c>
      <c r="G10" s="90">
        <v>-34747</v>
      </c>
      <c r="H10" s="92">
        <f>F10+G10</f>
        <v>2693693</v>
      </c>
      <c r="I10" s="89"/>
      <c r="J10" s="90">
        <v>130497</v>
      </c>
      <c r="K10" s="90">
        <v>83317</v>
      </c>
      <c r="L10" s="93">
        <v>72880</v>
      </c>
      <c r="M10" s="89"/>
      <c r="N10" s="94">
        <f>H10/J10</f>
        <v>20.641800194640489</v>
      </c>
      <c r="O10" s="94">
        <f>H10/K10</f>
        <v>32.330652807950358</v>
      </c>
      <c r="P10" s="94">
        <f>F10/L10</f>
        <v>37.437431394072448</v>
      </c>
    </row>
    <row r="11" spans="2:16">
      <c r="B11" t="s">
        <v>179</v>
      </c>
      <c r="D11" s="14">
        <v>180</v>
      </c>
      <c r="E11" s="95">
        <v>1620</v>
      </c>
      <c r="F11" s="96">
        <f t="shared" ref="F11:F15" si="0">E11*D11</f>
        <v>291600</v>
      </c>
      <c r="G11" s="95">
        <v>1200</v>
      </c>
      <c r="H11" s="92">
        <f t="shared" ref="H11:H15" si="1">F11+G11</f>
        <v>292800</v>
      </c>
      <c r="I11" s="14"/>
      <c r="J11" s="95">
        <v>23600</v>
      </c>
      <c r="K11" s="95">
        <v>4800</v>
      </c>
      <c r="L11" s="97">
        <v>2200</v>
      </c>
      <c r="M11" s="14"/>
      <c r="N11" s="98">
        <f t="shared" ref="N11:N15" si="2">H11/J11</f>
        <v>12.40677966101695</v>
      </c>
      <c r="O11" s="102">
        <f t="shared" ref="O11:O15" si="3">H11/K11</f>
        <v>61</v>
      </c>
      <c r="P11" s="98">
        <f t="shared" ref="P11:P15" si="4">F11/L11</f>
        <v>132.54545454545453</v>
      </c>
    </row>
    <row r="12" spans="2:16">
      <c r="B12" t="s">
        <v>180</v>
      </c>
      <c r="D12" s="14">
        <v>44</v>
      </c>
      <c r="E12" s="95">
        <v>4220</v>
      </c>
      <c r="F12" s="96">
        <f t="shared" si="0"/>
        <v>185680</v>
      </c>
      <c r="G12" s="95">
        <v>36000</v>
      </c>
      <c r="H12" s="92">
        <f t="shared" si="1"/>
        <v>221680</v>
      </c>
      <c r="I12" s="14"/>
      <c r="J12" s="95">
        <v>54200</v>
      </c>
      <c r="K12" s="95">
        <v>13000</v>
      </c>
      <c r="L12" s="97">
        <v>1700</v>
      </c>
      <c r="M12" s="14"/>
      <c r="N12" s="98">
        <f t="shared" si="2"/>
        <v>4.0900369003690038</v>
      </c>
      <c r="O12" s="102">
        <f t="shared" si="3"/>
        <v>17.052307692307693</v>
      </c>
      <c r="P12" s="98">
        <f t="shared" si="4"/>
        <v>109.2235294117647</v>
      </c>
    </row>
    <row r="13" spans="2:16">
      <c r="B13" t="s">
        <v>181</v>
      </c>
      <c r="D13" s="95">
        <v>1350</v>
      </c>
      <c r="E13" s="14">
        <v>470</v>
      </c>
      <c r="F13" s="96">
        <f t="shared" si="0"/>
        <v>634500</v>
      </c>
      <c r="G13" s="95">
        <v>38000</v>
      </c>
      <c r="H13" s="92">
        <f t="shared" si="1"/>
        <v>672500</v>
      </c>
      <c r="I13" s="14"/>
      <c r="J13" s="95">
        <v>35800</v>
      </c>
      <c r="K13" s="95">
        <v>23600</v>
      </c>
      <c r="L13" s="97">
        <v>14000</v>
      </c>
      <c r="M13" s="14"/>
      <c r="N13" s="98">
        <f t="shared" si="2"/>
        <v>18.784916201117319</v>
      </c>
      <c r="O13" s="102">
        <f t="shared" si="3"/>
        <v>28.495762711864408</v>
      </c>
      <c r="P13" s="98">
        <f t="shared" si="4"/>
        <v>45.321428571428569</v>
      </c>
    </row>
    <row r="14" spans="2:16">
      <c r="B14" t="s">
        <v>182</v>
      </c>
      <c r="D14" s="14">
        <v>175</v>
      </c>
      <c r="E14" s="95">
        <v>1110</v>
      </c>
      <c r="F14" s="96">
        <f t="shared" si="0"/>
        <v>194250</v>
      </c>
      <c r="G14" s="95">
        <v>-8000</v>
      </c>
      <c r="H14" s="92">
        <f t="shared" si="1"/>
        <v>186250</v>
      </c>
      <c r="I14" s="14"/>
      <c r="J14" s="95">
        <v>36300</v>
      </c>
      <c r="K14" s="95">
        <v>13500</v>
      </c>
      <c r="L14" s="97">
        <v>9200</v>
      </c>
      <c r="M14" s="14"/>
      <c r="N14" s="98">
        <f t="shared" si="2"/>
        <v>5.1308539944903577</v>
      </c>
      <c r="O14" s="102">
        <f t="shared" si="3"/>
        <v>13.796296296296296</v>
      </c>
      <c r="P14" s="98">
        <f t="shared" si="4"/>
        <v>21.114130434782609</v>
      </c>
    </row>
    <row r="15" spans="2:16">
      <c r="B15" t="s">
        <v>183</v>
      </c>
      <c r="D15" s="14">
        <v>140</v>
      </c>
      <c r="E15" s="95">
        <v>5180</v>
      </c>
      <c r="F15" s="96">
        <f t="shared" si="0"/>
        <v>725200</v>
      </c>
      <c r="G15" s="95">
        <v>-22000</v>
      </c>
      <c r="H15" s="92">
        <f t="shared" si="1"/>
        <v>703200</v>
      </c>
      <c r="I15" s="14"/>
      <c r="J15" s="95">
        <v>69300</v>
      </c>
      <c r="K15" s="95">
        <v>44200</v>
      </c>
      <c r="L15" s="97">
        <v>31800</v>
      </c>
      <c r="M15" s="14"/>
      <c r="N15" s="98">
        <f t="shared" si="2"/>
        <v>10.147186147186147</v>
      </c>
      <c r="O15" s="102">
        <f t="shared" si="3"/>
        <v>15.909502262443439</v>
      </c>
      <c r="P15" s="98">
        <f t="shared" si="4"/>
        <v>22.80503144654088</v>
      </c>
    </row>
    <row r="16" spans="2:16">
      <c r="G16" s="95"/>
      <c r="I16" s="14"/>
      <c r="J16" s="14"/>
      <c r="K16" s="14"/>
      <c r="L16" s="14"/>
      <c r="M16" s="14"/>
      <c r="N16" s="14"/>
      <c r="O16" s="14"/>
      <c r="P16" s="14"/>
    </row>
    <row r="17" spans="2:16">
      <c r="B17" s="1"/>
      <c r="C17" s="73"/>
      <c r="D17" s="99"/>
      <c r="I17" s="14"/>
      <c r="J17" s="14"/>
      <c r="K17" s="14"/>
      <c r="L17" s="14"/>
      <c r="M17" s="14"/>
      <c r="N17" s="14"/>
      <c r="O17" s="14"/>
      <c r="P17" s="14"/>
    </row>
    <row r="18" spans="2:16">
      <c r="B18" s="75" t="s">
        <v>184</v>
      </c>
      <c r="C18" s="76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77">
        <f>MIN(N10:N15)</f>
        <v>4.0900369003690038</v>
      </c>
      <c r="O18" s="77">
        <f>MIN(O10:O15)</f>
        <v>13.796296296296296</v>
      </c>
      <c r="P18" s="77">
        <f t="shared" ref="O18:P18" si="5">MIN(P10:P15)</f>
        <v>21.114130434782609</v>
      </c>
    </row>
    <row r="19" spans="2:16">
      <c r="B19" s="75" t="s">
        <v>185</v>
      </c>
      <c r="C19" s="78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79">
        <f>_xlfn.PERCENTILE.INC(N10:N15,0.25)</f>
        <v>6.3849370326643049</v>
      </c>
      <c r="O19" s="79">
        <f t="shared" ref="O19:P19" si="6">_xlfn.PERCENTILE.INC(O10:O15,0.25)</f>
        <v>16.195203619909503</v>
      </c>
      <c r="P19" s="79">
        <f t="shared" si="6"/>
        <v>26.463131433423772</v>
      </c>
    </row>
    <row r="20" spans="2:16">
      <c r="B20" s="84" t="s">
        <v>186</v>
      </c>
      <c r="C20" s="78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83">
        <f>MEDIAN(N10:N15)</f>
        <v>11.276982904101548</v>
      </c>
      <c r="O20" s="83">
        <f t="shared" ref="O20:P20" si="7">MEDIAN(O10:O15)</f>
        <v>22.774035202086051</v>
      </c>
      <c r="P20" s="83">
        <f t="shared" si="7"/>
        <v>41.379429982750509</v>
      </c>
    </row>
    <row r="21" spans="2:16">
      <c r="B21" s="80" t="s">
        <v>187</v>
      </c>
      <c r="C21" s="78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81">
        <f>AVERAGE(N10:N15)</f>
        <v>11.866928849803378</v>
      </c>
      <c r="O21" s="81">
        <f t="shared" ref="O21:P21" si="8">AVERAGE(O10:O15)</f>
        <v>28.097420295143696</v>
      </c>
      <c r="P21" s="81">
        <f t="shared" si="8"/>
        <v>61.407834300673947</v>
      </c>
    </row>
    <row r="22" spans="2:16">
      <c r="B22" s="75" t="s">
        <v>188</v>
      </c>
      <c r="C22" s="78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79">
        <f>_xlfn.PERCENTILE.INC(N10:N15,0.75)</f>
        <v>17.190382066092226</v>
      </c>
      <c r="O22" s="79">
        <f t="shared" ref="O22:P22" si="9">_xlfn.PERCENTILE.INC(O10:O15,0.75)</f>
        <v>31.371930283928869</v>
      </c>
      <c r="P22" s="79">
        <f t="shared" si="9"/>
        <v>93.248004201680672</v>
      </c>
    </row>
    <row r="23" spans="2:16">
      <c r="B23" s="75" t="s">
        <v>189</v>
      </c>
      <c r="C23" s="78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79">
        <f>MAX(N10:N15)</f>
        <v>20.641800194640489</v>
      </c>
      <c r="O23" s="79">
        <f t="shared" ref="O23:P23" si="10">MAX(O10:O15)</f>
        <v>61</v>
      </c>
      <c r="P23" s="79">
        <f t="shared" si="10"/>
        <v>132.54545454545453</v>
      </c>
    </row>
    <row r="24" spans="2:16">
      <c r="I24" s="14"/>
      <c r="J24" s="14"/>
      <c r="K24" s="14"/>
      <c r="L24" s="14"/>
      <c r="M24" s="14"/>
      <c r="N24" s="14"/>
      <c r="O24" s="14"/>
      <c r="P24" s="14"/>
    </row>
    <row r="25" spans="2:16">
      <c r="I25" s="14"/>
      <c r="J25" s="14"/>
      <c r="K25" s="14"/>
      <c r="L25" s="14"/>
      <c r="M25" s="14"/>
      <c r="N25" s="14"/>
      <c r="O25" s="14"/>
      <c r="P25" s="14"/>
    </row>
    <row r="26" spans="2:16">
      <c r="B26" s="46" t="s">
        <v>190</v>
      </c>
      <c r="C26" s="103"/>
      <c r="D26" s="104"/>
      <c r="E26" s="105"/>
      <c r="F26" s="105"/>
      <c r="G26" s="105"/>
      <c r="H26" s="105"/>
      <c r="I26" s="105"/>
      <c r="J26" s="105"/>
      <c r="K26" s="105"/>
      <c r="L26" s="105"/>
      <c r="M26" s="105"/>
      <c r="N26" s="106" t="s">
        <v>176</v>
      </c>
      <c r="O26" s="104" t="s">
        <v>177</v>
      </c>
      <c r="P26" s="104" t="s">
        <v>178</v>
      </c>
    </row>
    <row r="27" spans="2:16">
      <c r="B27" s="11" t="s">
        <v>191</v>
      </c>
      <c r="C27" s="82"/>
      <c r="I27" s="14"/>
      <c r="J27" s="14"/>
      <c r="K27" s="14"/>
      <c r="L27" s="14"/>
      <c r="M27" s="14"/>
      <c r="N27" s="101">
        <f>J10*N20</f>
        <v>1471612.4380365396</v>
      </c>
      <c r="O27" s="95">
        <f>K10*O20</f>
        <v>1897464.2909322034</v>
      </c>
      <c r="P27" s="14" t="s">
        <v>192</v>
      </c>
    </row>
    <row r="28" spans="2:16">
      <c r="B28" s="6" t="s">
        <v>175</v>
      </c>
      <c r="C28" s="82"/>
      <c r="I28" s="14"/>
      <c r="J28" s="14"/>
      <c r="K28" s="14"/>
      <c r="L28" s="14"/>
      <c r="M28" s="14"/>
      <c r="N28" s="101">
        <v>-34747</v>
      </c>
      <c r="O28" s="95">
        <v>-34747</v>
      </c>
      <c r="P28" s="14" t="s">
        <v>192</v>
      </c>
    </row>
    <row r="29" spans="2:16">
      <c r="B29" s="11" t="s">
        <v>193</v>
      </c>
      <c r="C29" s="82"/>
      <c r="D29" s="95"/>
      <c r="I29" s="14"/>
      <c r="J29" s="14"/>
      <c r="K29" s="14"/>
      <c r="L29" s="14"/>
      <c r="M29" s="14"/>
      <c r="N29" s="101">
        <f>N27-N28</f>
        <v>1506359.4380365396</v>
      </c>
      <c r="O29" s="95">
        <f>O27-O28</f>
        <v>1932211.2909322034</v>
      </c>
      <c r="P29" s="95">
        <v>3002656</v>
      </c>
    </row>
    <row r="30" spans="2:16">
      <c r="B30" s="11" t="s">
        <v>35</v>
      </c>
      <c r="C30" s="82"/>
      <c r="D30" s="95"/>
      <c r="I30" s="14"/>
      <c r="J30" s="14"/>
      <c r="K30" s="14"/>
      <c r="L30" s="14"/>
      <c r="M30" s="14"/>
      <c r="N30" s="101">
        <v>24804</v>
      </c>
      <c r="O30" s="95">
        <v>24804</v>
      </c>
      <c r="P30" s="95">
        <v>24804</v>
      </c>
    </row>
    <row r="31" spans="2:16">
      <c r="B31" s="107" t="s">
        <v>194</v>
      </c>
      <c r="C31" s="108"/>
      <c r="D31" s="109"/>
      <c r="E31" s="110"/>
      <c r="F31" s="110"/>
      <c r="G31" s="110"/>
      <c r="H31" s="110"/>
      <c r="I31" s="110"/>
      <c r="J31" s="110"/>
      <c r="K31" s="110"/>
      <c r="L31" s="110"/>
      <c r="M31" s="110"/>
      <c r="N31" s="111">
        <f>N29/N30</f>
        <v>60.730504678138189</v>
      </c>
      <c r="O31" s="112">
        <f>O29/O30</f>
        <v>77.899181218037555</v>
      </c>
      <c r="P31" s="112">
        <f>P29/P30</f>
        <v>121.05531365908725</v>
      </c>
    </row>
    <row r="32" spans="2:16">
      <c r="I32" s="14"/>
      <c r="J32" s="14"/>
      <c r="K32" s="14"/>
      <c r="L32" s="14"/>
      <c r="M32" s="14"/>
      <c r="N32" s="119" t="s">
        <v>195</v>
      </c>
      <c r="O32" s="119" t="s">
        <v>195</v>
      </c>
      <c r="P32" s="169" t="s">
        <v>196</v>
      </c>
    </row>
    <row r="33" spans="2:16">
      <c r="I33" s="14"/>
      <c r="J33" s="14"/>
      <c r="K33" s="14"/>
      <c r="L33" s="14"/>
      <c r="M33" s="14"/>
      <c r="N33" s="14"/>
      <c r="O33" s="14"/>
      <c r="P33" s="170"/>
    </row>
    <row r="34" spans="2:16">
      <c r="B34" s="46" t="s">
        <v>197</v>
      </c>
      <c r="C34" s="103"/>
      <c r="D34" s="104"/>
      <c r="E34" s="105"/>
      <c r="F34" s="105"/>
      <c r="G34" s="105"/>
      <c r="H34" s="105"/>
      <c r="I34" s="105"/>
      <c r="J34" s="105"/>
      <c r="K34" s="105"/>
      <c r="L34" s="105"/>
      <c r="M34" s="105"/>
      <c r="N34" s="106" t="s">
        <v>176</v>
      </c>
      <c r="O34" s="104" t="s">
        <v>177</v>
      </c>
      <c r="P34" s="104" t="s">
        <v>178</v>
      </c>
    </row>
    <row r="35" spans="2:16">
      <c r="B35" t="s">
        <v>191</v>
      </c>
      <c r="C35" s="72"/>
      <c r="I35" s="14"/>
      <c r="J35" s="14"/>
      <c r="K35" s="14"/>
      <c r="L35" s="14"/>
      <c r="M35" s="14"/>
      <c r="N35" s="97">
        <f>J11*N20</f>
        <v>266136.79653679655</v>
      </c>
      <c r="O35" s="97">
        <f>K11*O20</f>
        <v>109315.36897001305</v>
      </c>
      <c r="P35" s="14" t="s">
        <v>192</v>
      </c>
    </row>
    <row r="36" spans="2:16">
      <c r="B36" t="s">
        <v>175</v>
      </c>
      <c r="C36" s="72"/>
      <c r="I36" s="14"/>
      <c r="J36" s="14"/>
      <c r="K36" s="14"/>
      <c r="L36" s="14"/>
      <c r="M36" s="14"/>
      <c r="N36" s="97">
        <v>-1200</v>
      </c>
      <c r="O36" s="95">
        <v>-1200</v>
      </c>
      <c r="P36" s="14" t="s">
        <v>192</v>
      </c>
    </row>
    <row r="37" spans="2:16">
      <c r="B37" t="s">
        <v>193</v>
      </c>
      <c r="C37" s="72"/>
      <c r="D37" s="95"/>
      <c r="I37" s="14"/>
      <c r="J37" s="14"/>
      <c r="K37" s="14"/>
      <c r="L37" s="14"/>
      <c r="M37" s="14"/>
      <c r="N37" s="97">
        <f>N35-N36</f>
        <v>267336.79653679655</v>
      </c>
      <c r="O37" s="97">
        <f>O35-O36</f>
        <v>110515.36897001305</v>
      </c>
      <c r="P37" s="95">
        <v>90640</v>
      </c>
    </row>
    <row r="38" spans="2:16">
      <c r="B38" t="s">
        <v>35</v>
      </c>
      <c r="C38" s="72"/>
      <c r="D38" s="95"/>
      <c r="I38" s="14"/>
      <c r="J38" s="14"/>
      <c r="K38" s="14"/>
      <c r="L38" s="14"/>
      <c r="M38" s="14"/>
      <c r="N38" s="97">
        <v>1620</v>
      </c>
      <c r="O38" s="95">
        <v>1620</v>
      </c>
      <c r="P38" s="95">
        <v>1620</v>
      </c>
    </row>
    <row r="39" spans="2:16">
      <c r="B39" s="113" t="s">
        <v>194</v>
      </c>
      <c r="C39" s="114"/>
      <c r="D39" s="109"/>
      <c r="E39" s="110"/>
      <c r="F39" s="110"/>
      <c r="G39" s="110"/>
      <c r="H39" s="110"/>
      <c r="I39" s="110"/>
      <c r="J39" s="110"/>
      <c r="K39" s="110"/>
      <c r="L39" s="110"/>
      <c r="M39" s="110"/>
      <c r="N39" s="115">
        <f>N37/N38</f>
        <v>165.02271391160281</v>
      </c>
      <c r="O39" s="115">
        <f>O37/O38</f>
        <v>68.219363561736444</v>
      </c>
      <c r="P39" s="109">
        <f>P37/P38</f>
        <v>55.950617283950621</v>
      </c>
    </row>
    <row r="40" spans="2:16">
      <c r="I40" s="14"/>
      <c r="J40" s="14"/>
      <c r="K40" s="14"/>
      <c r="L40" s="14"/>
      <c r="M40" s="14"/>
      <c r="N40" s="14"/>
      <c r="O40" s="14"/>
      <c r="P40" s="14"/>
    </row>
    <row r="41" spans="2:16">
      <c r="I41" s="14"/>
      <c r="J41" s="14"/>
      <c r="K41" s="14"/>
      <c r="L41" s="14"/>
      <c r="M41" s="14"/>
      <c r="N41" s="14"/>
      <c r="O41" s="14"/>
      <c r="P41" s="14"/>
    </row>
    <row r="42" spans="2:16">
      <c r="B42" s="46" t="s">
        <v>198</v>
      </c>
      <c r="C42" s="19"/>
      <c r="D42" s="105"/>
      <c r="E42" s="105"/>
      <c r="F42" s="105"/>
      <c r="G42" s="105"/>
      <c r="H42" s="105"/>
      <c r="I42" s="105"/>
      <c r="J42" s="105"/>
      <c r="K42" s="105"/>
      <c r="L42" s="105"/>
      <c r="M42" s="104"/>
      <c r="N42" s="104" t="s">
        <v>176</v>
      </c>
      <c r="O42" s="104" t="s">
        <v>177</v>
      </c>
      <c r="P42" s="104" t="s">
        <v>178</v>
      </c>
    </row>
    <row r="43" spans="2:16">
      <c r="B43" t="s">
        <v>191</v>
      </c>
      <c r="I43" s="14"/>
      <c r="J43" s="14"/>
      <c r="K43" s="14"/>
      <c r="L43" s="14"/>
      <c r="M43" s="14"/>
      <c r="N43" s="95">
        <f>J12*N20</f>
        <v>611212.47340230388</v>
      </c>
      <c r="O43" s="95">
        <f>K12*O20</f>
        <v>296062.45762711868</v>
      </c>
      <c r="P43" s="14" t="s">
        <v>192</v>
      </c>
    </row>
    <row r="44" spans="2:16">
      <c r="B44" t="s">
        <v>175</v>
      </c>
      <c r="I44" s="14"/>
      <c r="J44" s="14"/>
      <c r="K44" s="14"/>
      <c r="L44" s="14"/>
      <c r="M44" s="14"/>
      <c r="N44" s="95">
        <v>-36000</v>
      </c>
      <c r="O44" s="95">
        <v>-36000</v>
      </c>
      <c r="P44" s="14" t="s">
        <v>192</v>
      </c>
    </row>
    <row r="45" spans="2:16">
      <c r="B45" t="s">
        <v>193</v>
      </c>
      <c r="I45" s="14"/>
      <c r="J45" s="14"/>
      <c r="K45" s="14"/>
      <c r="L45" s="14"/>
      <c r="M45" s="14"/>
      <c r="N45" s="95">
        <f>N43-N44</f>
        <v>647212.47340230388</v>
      </c>
      <c r="O45" s="95">
        <f>O43-O44</f>
        <v>332062.45762711868</v>
      </c>
      <c r="P45" s="95">
        <v>70040</v>
      </c>
    </row>
    <row r="46" spans="2:16">
      <c r="B46" t="s">
        <v>35</v>
      </c>
      <c r="I46" s="14"/>
      <c r="J46" s="14"/>
      <c r="K46" s="14"/>
      <c r="L46" s="14"/>
      <c r="M46" s="14"/>
      <c r="N46" s="95">
        <v>4220</v>
      </c>
      <c r="O46" s="95">
        <v>4220</v>
      </c>
      <c r="P46" s="95">
        <v>4220</v>
      </c>
    </row>
    <row r="47" spans="2:16">
      <c r="B47" s="113" t="s">
        <v>194</v>
      </c>
      <c r="C47" s="116"/>
      <c r="D47" s="110"/>
      <c r="E47" s="110"/>
      <c r="F47" s="110"/>
      <c r="G47" s="110"/>
      <c r="H47" s="110"/>
      <c r="I47" s="110"/>
      <c r="J47" s="110"/>
      <c r="K47" s="110"/>
      <c r="L47" s="110"/>
      <c r="M47" s="117"/>
      <c r="N47" s="109">
        <f>N45/N46</f>
        <v>153.36788469248907</v>
      </c>
      <c r="O47" s="109">
        <f>O45/O46</f>
        <v>78.687786167563672</v>
      </c>
      <c r="P47" s="109">
        <f>P45/P46</f>
        <v>16.597156398104264</v>
      </c>
    </row>
    <row r="48" spans="2:16">
      <c r="I48" s="14"/>
      <c r="J48" s="14"/>
      <c r="K48" s="14"/>
      <c r="L48" s="14"/>
      <c r="M48" s="14"/>
      <c r="N48" s="14"/>
      <c r="O48" s="14"/>
      <c r="P48" s="14"/>
    </row>
    <row r="49" spans="2:16">
      <c r="I49" s="14"/>
      <c r="J49" s="14"/>
      <c r="K49" s="14"/>
      <c r="L49" s="14"/>
      <c r="M49" s="14"/>
      <c r="N49" s="14"/>
      <c r="O49" s="14"/>
      <c r="P49" s="14"/>
    </row>
    <row r="50" spans="2:16">
      <c r="B50" s="46" t="s">
        <v>199</v>
      </c>
      <c r="C50" s="19"/>
      <c r="D50" s="105"/>
      <c r="E50" s="105"/>
      <c r="F50" s="105"/>
      <c r="G50" s="105"/>
      <c r="H50" s="105"/>
      <c r="I50" s="105"/>
      <c r="J50" s="105"/>
      <c r="K50" s="105"/>
      <c r="L50" s="105"/>
      <c r="M50" s="104"/>
      <c r="N50" s="104" t="s">
        <v>176</v>
      </c>
      <c r="O50" s="104" t="s">
        <v>177</v>
      </c>
      <c r="P50" s="104" t="s">
        <v>178</v>
      </c>
    </row>
    <row r="51" spans="2:16">
      <c r="B51" t="s">
        <v>191</v>
      </c>
      <c r="I51" s="14"/>
      <c r="J51" s="14"/>
      <c r="K51" s="14"/>
      <c r="L51" s="14"/>
      <c r="M51" s="14"/>
      <c r="N51" s="95">
        <f>J13*N20</f>
        <v>403715.98796683538</v>
      </c>
      <c r="O51" s="95">
        <f>K13*O20</f>
        <v>537467.23076923075</v>
      </c>
      <c r="P51" s="14" t="s">
        <v>192</v>
      </c>
    </row>
    <row r="52" spans="2:16">
      <c r="B52" t="s">
        <v>175</v>
      </c>
      <c r="I52" s="14"/>
      <c r="J52" s="14"/>
      <c r="K52" s="14"/>
      <c r="L52" s="14"/>
      <c r="M52" s="14"/>
      <c r="N52" s="95">
        <v>-38000</v>
      </c>
      <c r="O52" s="95">
        <v>-38000</v>
      </c>
      <c r="P52" s="14" t="s">
        <v>192</v>
      </c>
    </row>
    <row r="53" spans="2:16">
      <c r="B53" t="s">
        <v>193</v>
      </c>
      <c r="I53" s="14"/>
      <c r="J53" s="14"/>
      <c r="K53" s="14"/>
      <c r="L53" s="14"/>
      <c r="M53" s="14"/>
      <c r="N53" s="95">
        <f>N51-N52</f>
        <v>441715.98796683538</v>
      </c>
      <c r="O53" s="95">
        <f>O51-O52</f>
        <v>575467.23076923075</v>
      </c>
      <c r="P53" s="95">
        <v>576800</v>
      </c>
    </row>
    <row r="54" spans="2:16">
      <c r="B54" t="s">
        <v>35</v>
      </c>
      <c r="I54" s="14"/>
      <c r="J54" s="14"/>
      <c r="K54" s="14"/>
      <c r="L54" s="14"/>
      <c r="M54" s="14"/>
      <c r="N54" s="14">
        <v>470</v>
      </c>
      <c r="O54" s="14">
        <v>470</v>
      </c>
      <c r="P54" s="14">
        <v>470</v>
      </c>
    </row>
    <row r="55" spans="2:16">
      <c r="B55" s="113" t="s">
        <v>194</v>
      </c>
      <c r="C55" s="116"/>
      <c r="D55" s="110"/>
      <c r="E55" s="110"/>
      <c r="F55" s="110"/>
      <c r="G55" s="110"/>
      <c r="H55" s="110"/>
      <c r="I55" s="110"/>
      <c r="J55" s="110"/>
      <c r="K55" s="110"/>
      <c r="L55" s="110"/>
      <c r="M55" s="117"/>
      <c r="N55" s="118">
        <f>N53/N54</f>
        <v>939.82125099326674</v>
      </c>
      <c r="O55" s="118">
        <f t="shared" ref="O55:P55" si="11">O53/O54</f>
        <v>1224.3983633387888</v>
      </c>
      <c r="P55" s="118">
        <f t="shared" si="11"/>
        <v>1227.2340425531916</v>
      </c>
    </row>
    <row r="56" spans="2:16">
      <c r="I56" s="14"/>
      <c r="J56" s="14"/>
      <c r="K56" s="14"/>
      <c r="L56" s="14"/>
      <c r="M56" s="14"/>
      <c r="N56" s="14"/>
      <c r="O56" s="14"/>
      <c r="P56" s="14"/>
    </row>
    <row r="57" spans="2:16">
      <c r="I57" s="14"/>
      <c r="J57" s="14"/>
      <c r="K57" s="14"/>
      <c r="L57" s="14"/>
      <c r="M57" s="14"/>
      <c r="N57" s="14"/>
      <c r="O57" s="14"/>
      <c r="P57" s="14"/>
    </row>
    <row r="58" spans="2:16">
      <c r="B58" s="46" t="s">
        <v>200</v>
      </c>
      <c r="C58" s="19"/>
      <c r="D58" s="105"/>
      <c r="E58" s="105"/>
      <c r="F58" s="105"/>
      <c r="G58" s="105"/>
      <c r="H58" s="105"/>
      <c r="I58" s="105"/>
      <c r="J58" s="105"/>
      <c r="K58" s="105"/>
      <c r="L58" s="105"/>
      <c r="M58" s="104"/>
      <c r="N58" s="104" t="s">
        <v>176</v>
      </c>
      <c r="O58" s="104" t="s">
        <v>177</v>
      </c>
      <c r="P58" s="104" t="s">
        <v>178</v>
      </c>
    </row>
    <row r="59" spans="2:16">
      <c r="B59" t="s">
        <v>191</v>
      </c>
      <c r="I59" s="14"/>
      <c r="J59" s="14"/>
      <c r="K59" s="14"/>
      <c r="L59" s="14"/>
      <c r="M59" s="14"/>
      <c r="N59" s="95">
        <f>J14*N20</f>
        <v>409354.47941888619</v>
      </c>
      <c r="O59" s="95">
        <f>K14*O20</f>
        <v>307449.47522816167</v>
      </c>
      <c r="P59" s="14" t="s">
        <v>192</v>
      </c>
    </row>
    <row r="60" spans="2:16">
      <c r="B60" t="s">
        <v>175</v>
      </c>
      <c r="I60" s="14"/>
      <c r="J60" s="14"/>
      <c r="K60" s="14"/>
      <c r="L60" s="14"/>
      <c r="M60" s="14"/>
      <c r="N60" s="95">
        <v>8000</v>
      </c>
      <c r="O60" s="95">
        <v>8000</v>
      </c>
      <c r="P60" s="14" t="s">
        <v>192</v>
      </c>
    </row>
    <row r="61" spans="2:16">
      <c r="B61" t="s">
        <v>193</v>
      </c>
      <c r="I61" s="14"/>
      <c r="J61" s="14"/>
      <c r="K61" s="14"/>
      <c r="L61" s="14"/>
      <c r="M61" s="14"/>
      <c r="N61" s="95">
        <f>N59-N60</f>
        <v>401354.47941888619</v>
      </c>
      <c r="O61" s="95">
        <f>O59-O60</f>
        <v>299449.47522816167</v>
      </c>
      <c r="P61" s="95">
        <v>379040</v>
      </c>
    </row>
    <row r="62" spans="2:16">
      <c r="B62" t="s">
        <v>35</v>
      </c>
      <c r="I62" s="14"/>
      <c r="J62" s="14"/>
      <c r="K62" s="14"/>
      <c r="L62" s="14"/>
      <c r="M62" s="14"/>
      <c r="N62" s="95">
        <v>1110</v>
      </c>
      <c r="O62" s="95">
        <v>1110</v>
      </c>
      <c r="P62" s="95">
        <v>1110</v>
      </c>
    </row>
    <row r="63" spans="2:16">
      <c r="B63" s="113" t="s">
        <v>194</v>
      </c>
      <c r="C63" s="116"/>
      <c r="D63" s="110"/>
      <c r="E63" s="110"/>
      <c r="F63" s="110"/>
      <c r="G63" s="110"/>
      <c r="H63" s="110"/>
      <c r="I63" s="110"/>
      <c r="J63" s="110"/>
      <c r="K63" s="110"/>
      <c r="L63" s="110"/>
      <c r="M63" s="117"/>
      <c r="N63" s="109">
        <f>N61/N62</f>
        <v>361.58061208908663</v>
      </c>
      <c r="O63" s="109">
        <f t="shared" ref="O63:P63" si="12">O61/O62</f>
        <v>269.77430200735284</v>
      </c>
      <c r="P63" s="109">
        <f t="shared" si="12"/>
        <v>341.47747747747746</v>
      </c>
    </row>
    <row r="64" spans="2:16">
      <c r="I64" s="14"/>
      <c r="J64" s="14"/>
      <c r="K64" s="14"/>
      <c r="L64" s="14"/>
      <c r="M64" s="14"/>
      <c r="N64" s="14"/>
      <c r="O64" s="14"/>
      <c r="P64" s="14"/>
    </row>
    <row r="65" spans="2:16">
      <c r="I65" s="14"/>
      <c r="J65" s="14"/>
      <c r="K65" s="14"/>
      <c r="L65" s="14"/>
      <c r="M65" s="14"/>
      <c r="N65" s="14"/>
      <c r="O65" s="14"/>
      <c r="P65" s="14"/>
    </row>
    <row r="66" spans="2:16">
      <c r="B66" s="46" t="s">
        <v>201</v>
      </c>
      <c r="C66" s="19"/>
      <c r="D66" s="105"/>
      <c r="E66" s="105"/>
      <c r="F66" s="105"/>
      <c r="G66" s="105"/>
      <c r="H66" s="105"/>
      <c r="I66" s="105"/>
      <c r="J66" s="105"/>
      <c r="K66" s="105"/>
      <c r="L66" s="105"/>
      <c r="M66" s="104"/>
      <c r="N66" s="104" t="s">
        <v>176</v>
      </c>
      <c r="O66" s="104" t="s">
        <v>177</v>
      </c>
      <c r="P66" s="104" t="s">
        <v>178</v>
      </c>
    </row>
    <row r="67" spans="2:16">
      <c r="B67" t="s">
        <v>191</v>
      </c>
      <c r="I67" s="14"/>
      <c r="J67" s="14"/>
      <c r="K67" s="14"/>
      <c r="L67" s="14"/>
      <c r="M67" s="14"/>
      <c r="N67" s="95">
        <f>J15*N20</f>
        <v>781494.91525423725</v>
      </c>
      <c r="O67" s="95">
        <f>K15*O20</f>
        <v>1006612.3559322035</v>
      </c>
      <c r="P67" s="14" t="s">
        <v>192</v>
      </c>
    </row>
    <row r="68" spans="2:16">
      <c r="B68" t="s">
        <v>175</v>
      </c>
      <c r="I68" s="14"/>
      <c r="J68" s="14"/>
      <c r="K68" s="14"/>
      <c r="L68" s="14"/>
      <c r="M68" s="14"/>
      <c r="N68" s="95">
        <v>22000</v>
      </c>
      <c r="O68" s="95">
        <v>22000</v>
      </c>
      <c r="P68" s="14" t="s">
        <v>192</v>
      </c>
    </row>
    <row r="69" spans="2:16">
      <c r="B69" t="s">
        <v>193</v>
      </c>
      <c r="I69" s="14"/>
      <c r="J69" s="14"/>
      <c r="K69" s="14"/>
      <c r="L69" s="14"/>
      <c r="M69" s="14"/>
      <c r="N69" s="95">
        <f>N67-N68</f>
        <v>759494.91525423725</v>
      </c>
      <c r="O69" s="95">
        <f>O67-O68</f>
        <v>984612.35593220347</v>
      </c>
      <c r="P69" s="95">
        <v>1310160</v>
      </c>
    </row>
    <row r="70" spans="2:16">
      <c r="B70" t="s">
        <v>35</v>
      </c>
      <c r="I70" s="14"/>
      <c r="J70" s="14"/>
      <c r="K70" s="14"/>
      <c r="L70" s="14"/>
      <c r="M70" s="14"/>
      <c r="N70" s="95">
        <v>5180</v>
      </c>
      <c r="O70" s="95">
        <v>5180</v>
      </c>
      <c r="P70" s="95">
        <v>5180</v>
      </c>
    </row>
    <row r="71" spans="2:16">
      <c r="B71" s="113" t="s">
        <v>194</v>
      </c>
      <c r="C71" s="116"/>
      <c r="D71" s="110"/>
      <c r="E71" s="110"/>
      <c r="F71" s="110"/>
      <c r="G71" s="110"/>
      <c r="H71" s="110"/>
      <c r="I71" s="110"/>
      <c r="J71" s="110"/>
      <c r="K71" s="110"/>
      <c r="L71" s="110"/>
      <c r="M71" s="117"/>
      <c r="N71" s="109">
        <f>N69/N70</f>
        <v>146.62064001047051</v>
      </c>
      <c r="O71" s="109">
        <f t="shared" ref="O71:P71" si="13">O69/O70</f>
        <v>190.07960539231726</v>
      </c>
      <c r="P71" s="109">
        <f t="shared" si="13"/>
        <v>252.92664092664091</v>
      </c>
    </row>
    <row r="72" spans="2:16">
      <c r="I72" s="14"/>
      <c r="J72" s="14"/>
      <c r="K72" s="14"/>
      <c r="L72" s="14"/>
      <c r="M72" s="14"/>
      <c r="N72" s="14"/>
      <c r="O72" s="14"/>
      <c r="P72" s="14"/>
    </row>
    <row r="73" spans="2:16">
      <c r="I73" s="14"/>
      <c r="J73" s="14"/>
      <c r="K73" s="14"/>
      <c r="L73" s="14"/>
      <c r="M73" s="14"/>
      <c r="N73" s="14"/>
      <c r="O73" s="14"/>
      <c r="P73" s="14"/>
    </row>
  </sheetData>
  <mergeCells count="4">
    <mergeCell ref="D8:H8"/>
    <mergeCell ref="J8:L8"/>
    <mergeCell ref="N8:P8"/>
    <mergeCell ref="P32:P33"/>
  </mergeCells>
  <printOptions horizontalCentered="1"/>
  <pageMargins left="0.7" right="0.7" top="0.75" bottom="0.75" header="0.3" footer="0.3"/>
  <pageSetup fitToWidth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426C-6001-458E-B3F2-E5F496D1D9F6}">
  <sheetPr>
    <pageSetUpPr fitToPage="1"/>
  </sheetPr>
  <dimension ref="B1:M56"/>
  <sheetViews>
    <sheetView showGridLines="0" tabSelected="1" workbookViewId="0">
      <selection activeCell="R12" sqref="R12"/>
    </sheetView>
  </sheetViews>
  <sheetFormatPr defaultRowHeight="15"/>
  <cols>
    <col min="1" max="1" width="2.42578125" customWidth="1"/>
    <col min="2" max="2" width="36.5703125" bestFit="1" customWidth="1"/>
    <col min="3" max="3" width="3.140625" customWidth="1"/>
  </cols>
  <sheetData>
    <row r="1" spans="2:13" ht="10.5" customHeight="1"/>
    <row r="6" spans="2:13">
      <c r="B6" s="41" t="s">
        <v>202</v>
      </c>
      <c r="C6" s="41"/>
      <c r="D6" s="41"/>
      <c r="E6" s="41"/>
      <c r="F6" s="41"/>
      <c r="G6" s="41"/>
      <c r="H6" s="41"/>
      <c r="I6" s="126"/>
      <c r="J6" s="126"/>
      <c r="K6" s="126"/>
      <c r="L6" s="126"/>
      <c r="M6" s="126"/>
    </row>
    <row r="7" spans="2:13">
      <c r="B7" s="123" t="s">
        <v>203</v>
      </c>
      <c r="C7" s="123"/>
      <c r="D7" s="123"/>
      <c r="E7" s="123"/>
      <c r="F7" s="123"/>
      <c r="G7" s="123"/>
      <c r="H7" s="123"/>
      <c r="I7" s="126"/>
      <c r="J7" s="126"/>
      <c r="K7" s="126"/>
      <c r="L7" s="126"/>
      <c r="M7" s="126"/>
    </row>
    <row r="8" spans="2:13">
      <c r="B8" s="50"/>
      <c r="C8" s="50"/>
      <c r="D8" s="50" t="s">
        <v>12</v>
      </c>
      <c r="E8" s="50" t="s">
        <v>11</v>
      </c>
      <c r="F8" s="50" t="s">
        <v>10</v>
      </c>
      <c r="G8" s="50" t="s">
        <v>9</v>
      </c>
      <c r="H8" s="50" t="s">
        <v>8</v>
      </c>
      <c r="I8" s="127"/>
      <c r="J8" s="34"/>
      <c r="K8" s="34"/>
      <c r="L8" s="34"/>
      <c r="M8" s="34"/>
    </row>
    <row r="9" spans="2:13">
      <c r="B9" t="s">
        <v>204</v>
      </c>
      <c r="D9" s="42">
        <v>4332</v>
      </c>
      <c r="E9" s="42">
        <v>9752</v>
      </c>
      <c r="F9" s="42">
        <v>4368</v>
      </c>
      <c r="G9" s="42">
        <v>29760</v>
      </c>
      <c r="H9" s="42">
        <v>72880</v>
      </c>
      <c r="I9" s="42"/>
    </row>
    <row r="10" spans="2:13">
      <c r="B10" t="s">
        <v>205</v>
      </c>
      <c r="D10" s="42">
        <v>16893</v>
      </c>
      <c r="E10" s="42">
        <v>26612</v>
      </c>
      <c r="F10" s="42">
        <v>22101</v>
      </c>
      <c r="G10" s="42">
        <v>42978</v>
      </c>
      <c r="H10" s="42">
        <v>79327</v>
      </c>
      <c r="I10" s="42"/>
    </row>
    <row r="11" spans="2:13">
      <c r="B11" s="62" t="s">
        <v>203</v>
      </c>
      <c r="C11" s="62"/>
      <c r="D11" s="63">
        <f>D9/D10</f>
        <v>0.25643757769490322</v>
      </c>
      <c r="E11" s="63">
        <f t="shared" ref="E11:H11" si="0">E9/E10</f>
        <v>0.36645122501127309</v>
      </c>
      <c r="F11" s="63">
        <f t="shared" si="0"/>
        <v>0.19763811592235644</v>
      </c>
      <c r="G11" s="63">
        <f t="shared" si="0"/>
        <v>0.69244729861789756</v>
      </c>
      <c r="H11" s="63">
        <f t="shared" si="0"/>
        <v>0.9187288060811577</v>
      </c>
      <c r="I11" s="42"/>
    </row>
    <row r="12" spans="2:13">
      <c r="D12" s="42"/>
      <c r="E12" s="42"/>
      <c r="F12" s="42"/>
      <c r="G12" s="42"/>
      <c r="H12" s="42"/>
      <c r="I12" s="42"/>
    </row>
    <row r="13" spans="2:13">
      <c r="B13" s="41" t="s">
        <v>206</v>
      </c>
      <c r="C13" s="41"/>
      <c r="D13" s="122"/>
      <c r="E13" s="122"/>
      <c r="F13" s="122"/>
      <c r="G13" s="122"/>
      <c r="H13" s="122"/>
      <c r="I13" s="36"/>
    </row>
    <row r="14" spans="2:13">
      <c r="B14" s="1"/>
      <c r="C14" s="1"/>
      <c r="D14" s="1"/>
      <c r="E14" s="1"/>
      <c r="F14" s="1"/>
      <c r="G14" s="1"/>
      <c r="H14" s="1"/>
    </row>
    <row r="15" spans="2:13">
      <c r="B15" t="s">
        <v>204</v>
      </c>
      <c r="D15" s="42">
        <v>4332</v>
      </c>
      <c r="E15" s="42">
        <v>9752</v>
      </c>
      <c r="F15" s="42">
        <v>4368</v>
      </c>
      <c r="G15" s="42">
        <v>29760</v>
      </c>
      <c r="H15" s="42">
        <v>72880</v>
      </c>
    </row>
    <row r="16" spans="2:13">
      <c r="B16" t="s">
        <v>18</v>
      </c>
      <c r="D16" s="42">
        <v>16675</v>
      </c>
      <c r="E16" s="42">
        <v>26914</v>
      </c>
      <c r="F16" s="42">
        <v>26974</v>
      </c>
      <c r="G16" s="42">
        <v>60922</v>
      </c>
      <c r="H16" s="42">
        <v>130497</v>
      </c>
      <c r="I16" s="39"/>
    </row>
    <row r="17" spans="2:8">
      <c r="B17" s="62" t="s">
        <v>207</v>
      </c>
      <c r="C17" s="62"/>
      <c r="D17" s="63">
        <v>0.26</v>
      </c>
      <c r="E17" s="63">
        <v>0.36199999999999999</v>
      </c>
      <c r="F17" s="63">
        <v>0.16200000000000001</v>
      </c>
      <c r="G17" s="63">
        <v>0.48799999999999999</v>
      </c>
      <c r="H17" s="63">
        <v>0.55900000000000005</v>
      </c>
    </row>
    <row r="19" spans="2:8">
      <c r="B19" t="s">
        <v>18</v>
      </c>
      <c r="D19" s="42">
        <v>16675</v>
      </c>
      <c r="E19" s="42">
        <v>26914</v>
      </c>
      <c r="F19" s="42">
        <v>26974</v>
      </c>
      <c r="G19" s="42">
        <v>60922</v>
      </c>
      <c r="H19" s="42">
        <v>130497</v>
      </c>
    </row>
    <row r="20" spans="2:8">
      <c r="B20" t="s">
        <v>208</v>
      </c>
      <c r="D20" s="42">
        <v>28791</v>
      </c>
      <c r="E20" s="42">
        <v>44187</v>
      </c>
      <c r="F20" s="42">
        <v>41182</v>
      </c>
      <c r="G20" s="42">
        <v>65728</v>
      </c>
      <c r="H20" s="42">
        <v>111601</v>
      </c>
    </row>
    <row r="21" spans="2:8">
      <c r="B21" s="62" t="s">
        <v>209</v>
      </c>
      <c r="C21" s="62"/>
      <c r="D21" s="62">
        <v>0.57999999999999996</v>
      </c>
      <c r="E21" s="62">
        <v>0.61</v>
      </c>
      <c r="F21" s="62">
        <v>0.65</v>
      </c>
      <c r="G21" s="62">
        <v>0.93</v>
      </c>
      <c r="H21" s="62">
        <v>1.17</v>
      </c>
    </row>
    <row r="23" spans="2:8">
      <c r="B23" t="s">
        <v>208</v>
      </c>
      <c r="D23" s="42">
        <v>28791</v>
      </c>
      <c r="E23" s="42">
        <v>44187</v>
      </c>
      <c r="F23" s="42">
        <v>41182</v>
      </c>
      <c r="G23" s="42">
        <v>65728</v>
      </c>
      <c r="H23" s="42">
        <v>111601</v>
      </c>
    </row>
    <row r="24" spans="2:8">
      <c r="B24" t="s">
        <v>205</v>
      </c>
      <c r="D24" s="42">
        <v>16893</v>
      </c>
      <c r="E24" s="42">
        <v>26612</v>
      </c>
      <c r="F24" s="42">
        <v>22101</v>
      </c>
      <c r="G24" s="42">
        <v>42978</v>
      </c>
      <c r="H24" s="42">
        <v>79327</v>
      </c>
    </row>
    <row r="25" spans="2:8">
      <c r="B25" s="62" t="s">
        <v>210</v>
      </c>
      <c r="C25" s="62"/>
      <c r="D25" s="62">
        <v>1.7</v>
      </c>
      <c r="E25" s="62">
        <v>1.66</v>
      </c>
      <c r="F25" s="62">
        <v>1.86</v>
      </c>
      <c r="G25" s="62">
        <v>1.53</v>
      </c>
      <c r="H25" s="62">
        <v>1.41</v>
      </c>
    </row>
    <row r="27" spans="2:8">
      <c r="B27" s="62" t="s">
        <v>211</v>
      </c>
      <c r="C27" s="62"/>
      <c r="D27" s="63">
        <f>D17*D21*D25</f>
        <v>0.25635999999999998</v>
      </c>
      <c r="E27" s="63">
        <f>E17*E21*E25</f>
        <v>0.36656119999999998</v>
      </c>
      <c r="F27" s="63">
        <f>F17*F21*F25</f>
        <v>0.19585800000000003</v>
      </c>
      <c r="G27" s="63">
        <f>G17*G21*G25</f>
        <v>0.69437520000000008</v>
      </c>
      <c r="H27" s="63">
        <f>H17*H21*H25</f>
        <v>0.9221822999999999</v>
      </c>
    </row>
    <row r="29" spans="2:8">
      <c r="B29" s="123" t="s">
        <v>212</v>
      </c>
      <c r="C29" s="123"/>
      <c r="D29" s="123"/>
      <c r="E29" s="123"/>
      <c r="F29" s="123"/>
      <c r="G29" s="123"/>
      <c r="H29" s="123"/>
    </row>
    <row r="30" spans="2:8">
      <c r="B30" s="1"/>
      <c r="C30" s="1"/>
      <c r="D30" s="1" t="s">
        <v>12</v>
      </c>
      <c r="E30" s="1" t="s">
        <v>11</v>
      </c>
      <c r="F30" s="1" t="s">
        <v>10</v>
      </c>
      <c r="G30" s="1" t="s">
        <v>9</v>
      </c>
      <c r="H30" s="1" t="s">
        <v>8</v>
      </c>
    </row>
    <row r="31" spans="2:8">
      <c r="B31" t="s">
        <v>204</v>
      </c>
      <c r="D31" s="42">
        <v>4332</v>
      </c>
      <c r="E31" s="42">
        <v>9752</v>
      </c>
      <c r="F31" s="42">
        <v>4368</v>
      </c>
      <c r="G31" s="42">
        <v>29760</v>
      </c>
      <c r="H31" s="42">
        <v>72880</v>
      </c>
    </row>
    <row r="32" spans="2:8">
      <c r="B32" t="s">
        <v>208</v>
      </c>
      <c r="D32" s="42">
        <v>28791</v>
      </c>
      <c r="E32" s="42">
        <v>44187</v>
      </c>
      <c r="F32" s="42">
        <v>41182</v>
      </c>
      <c r="G32" s="42">
        <v>65728</v>
      </c>
      <c r="H32" s="42">
        <v>111601</v>
      </c>
    </row>
    <row r="33" spans="2:8">
      <c r="B33" s="62" t="s">
        <v>212</v>
      </c>
      <c r="C33" s="62"/>
      <c r="D33" s="63">
        <f>D31/D32</f>
        <v>0.15046368656871939</v>
      </c>
      <c r="E33" s="63">
        <f t="shared" ref="E33:H33" si="1">E31/E32</f>
        <v>0.22069839545567702</v>
      </c>
      <c r="F33" s="63">
        <f t="shared" si="1"/>
        <v>0.10606575688407557</v>
      </c>
      <c r="G33" s="63">
        <f t="shared" si="1"/>
        <v>0.45277507302823761</v>
      </c>
      <c r="H33" s="63">
        <f t="shared" si="1"/>
        <v>0.65304074336251472</v>
      </c>
    </row>
    <row r="34" spans="2:8">
      <c r="B34" s="1"/>
      <c r="C34" s="1"/>
      <c r="D34" s="39"/>
      <c r="E34" s="39"/>
      <c r="F34" s="39"/>
      <c r="G34" s="39"/>
      <c r="H34" s="39"/>
    </row>
    <row r="35" spans="2:8">
      <c r="B35" s="41" t="s">
        <v>213</v>
      </c>
      <c r="C35" s="41"/>
      <c r="D35" s="41"/>
      <c r="E35" s="41"/>
      <c r="F35" s="41"/>
      <c r="G35" s="41"/>
      <c r="H35" s="41"/>
    </row>
    <row r="36" spans="2:8">
      <c r="B36" s="1"/>
      <c r="C36" s="1"/>
      <c r="D36" s="1"/>
      <c r="E36" s="1"/>
      <c r="F36" s="1"/>
      <c r="G36" s="1"/>
      <c r="H36" s="1"/>
    </row>
    <row r="37" spans="2:8">
      <c r="B37" t="s">
        <v>204</v>
      </c>
      <c r="D37" s="42">
        <v>4332</v>
      </c>
      <c r="E37" s="42">
        <v>9752</v>
      </c>
      <c r="F37" s="42">
        <v>4368</v>
      </c>
      <c r="G37" s="42">
        <v>29760</v>
      </c>
      <c r="H37" s="42">
        <v>72880</v>
      </c>
    </row>
    <row r="38" spans="2:8">
      <c r="B38" t="s">
        <v>18</v>
      </c>
      <c r="D38" s="42">
        <v>16675</v>
      </c>
      <c r="E38" s="42">
        <v>26914</v>
      </c>
      <c r="F38" s="42">
        <v>26974</v>
      </c>
      <c r="G38" s="42">
        <v>60922</v>
      </c>
      <c r="H38" s="42">
        <v>130497</v>
      </c>
    </row>
    <row r="39" spans="2:8">
      <c r="B39" s="62" t="s">
        <v>207</v>
      </c>
      <c r="C39" s="62"/>
      <c r="D39" s="63">
        <f>D37/D38</f>
        <v>0.25979010494752625</v>
      </c>
      <c r="E39" s="63">
        <f t="shared" ref="E39:H39" si="2">E37/E38</f>
        <v>0.36233930296499961</v>
      </c>
      <c r="F39" s="63">
        <f t="shared" si="2"/>
        <v>0.16193371394676356</v>
      </c>
      <c r="G39" s="63">
        <f t="shared" si="2"/>
        <v>0.4884934834706674</v>
      </c>
      <c r="H39" s="63">
        <f t="shared" si="2"/>
        <v>0.55848027157712443</v>
      </c>
    </row>
    <row r="41" spans="2:8">
      <c r="B41" t="s">
        <v>18</v>
      </c>
      <c r="D41" s="42">
        <v>16675</v>
      </c>
      <c r="E41" s="42">
        <v>26914</v>
      </c>
      <c r="F41" s="42">
        <v>26974</v>
      </c>
      <c r="G41" s="42">
        <v>60922</v>
      </c>
      <c r="H41" s="42">
        <v>130497</v>
      </c>
    </row>
    <row r="42" spans="2:8">
      <c r="B42" t="s">
        <v>208</v>
      </c>
      <c r="D42" s="42">
        <v>28791</v>
      </c>
      <c r="E42" s="42">
        <v>44187</v>
      </c>
      <c r="F42" s="42">
        <v>41182</v>
      </c>
      <c r="G42" s="42">
        <v>65728</v>
      </c>
      <c r="H42" s="42">
        <v>111601</v>
      </c>
    </row>
    <row r="43" spans="2:8">
      <c r="B43" s="62" t="s">
        <v>209</v>
      </c>
      <c r="C43" s="62"/>
      <c r="D43" s="66">
        <f>D41/D42</f>
        <v>0.57917404744538226</v>
      </c>
      <c r="E43" s="66">
        <f t="shared" ref="E43:H43" si="3">E41/E42</f>
        <v>0.60909317219996828</v>
      </c>
      <c r="F43" s="66">
        <f t="shared" si="3"/>
        <v>0.65499490068476518</v>
      </c>
      <c r="G43" s="66">
        <f t="shared" si="3"/>
        <v>0.92688047711781885</v>
      </c>
      <c r="H43" s="66">
        <f t="shared" si="3"/>
        <v>1.169317479234057</v>
      </c>
    </row>
    <row r="45" spans="2:8">
      <c r="B45" s="62" t="s">
        <v>214</v>
      </c>
      <c r="C45" s="62"/>
      <c r="D45" s="63">
        <f>D39*D43</f>
        <v>0.15046368656871939</v>
      </c>
      <c r="E45" s="63">
        <f>E39*E43</f>
        <v>0.22069839545567699</v>
      </c>
      <c r="F45" s="63">
        <f>F39*F43</f>
        <v>0.10606575688407557</v>
      </c>
      <c r="G45" s="63">
        <f>G39*G43</f>
        <v>0.45277507302823755</v>
      </c>
      <c r="H45" s="63">
        <f>H39*H43</f>
        <v>0.65304074336251472</v>
      </c>
    </row>
    <row r="47" spans="2:8" ht="18.75">
      <c r="B47" s="125" t="s">
        <v>215</v>
      </c>
      <c r="C47" s="125"/>
    </row>
    <row r="48" spans="2:8">
      <c r="B48" s="124" t="s">
        <v>216</v>
      </c>
      <c r="C48" s="124"/>
    </row>
    <row r="50" spans="2:8" ht="35.25" customHeight="1">
      <c r="B50" s="171" t="s">
        <v>217</v>
      </c>
      <c r="C50" s="171"/>
      <c r="D50" s="171"/>
      <c r="E50" s="171"/>
      <c r="F50" s="171"/>
      <c r="G50" s="171"/>
      <c r="H50" s="171"/>
    </row>
    <row r="51" spans="2:8" ht="35.25" customHeight="1">
      <c r="B51" s="171" t="s">
        <v>218</v>
      </c>
      <c r="C51" s="171"/>
      <c r="D51" s="171"/>
      <c r="E51" s="171"/>
      <c r="F51" s="171"/>
      <c r="G51" s="171"/>
      <c r="H51" s="171"/>
    </row>
    <row r="52" spans="2:8" ht="35.25" customHeight="1">
      <c r="B52" s="173" t="s">
        <v>219</v>
      </c>
      <c r="C52" s="173"/>
      <c r="D52" s="173"/>
      <c r="E52" s="173"/>
      <c r="F52" s="173"/>
      <c r="G52" s="173"/>
      <c r="H52" s="173"/>
    </row>
    <row r="53" spans="2:8" ht="35.25" customHeight="1">
      <c r="B53" s="171" t="s">
        <v>220</v>
      </c>
      <c r="C53" s="171"/>
      <c r="D53" s="171"/>
      <c r="E53" s="171"/>
      <c r="F53" s="171"/>
      <c r="G53" s="171"/>
      <c r="H53" s="171"/>
    </row>
    <row r="54" spans="2:8" ht="35.25" customHeight="1">
      <c r="B54" s="172" t="s">
        <v>221</v>
      </c>
      <c r="C54" s="172"/>
      <c r="D54" s="172"/>
      <c r="E54" s="172"/>
      <c r="F54" s="172"/>
      <c r="G54" s="172"/>
      <c r="H54" s="172"/>
    </row>
    <row r="55" spans="2:8" ht="35.25" customHeight="1">
      <c r="B55" s="171" t="s">
        <v>222</v>
      </c>
      <c r="C55" s="171"/>
      <c r="D55" s="171"/>
      <c r="E55" s="171"/>
      <c r="F55" s="171"/>
      <c r="G55" s="171"/>
      <c r="H55" s="171"/>
    </row>
    <row r="56" spans="2:8" ht="34.5" customHeight="1">
      <c r="B56" s="172" t="s">
        <v>223</v>
      </c>
      <c r="C56" s="172"/>
      <c r="D56" s="172"/>
      <c r="E56" s="172"/>
      <c r="F56" s="172"/>
      <c r="G56" s="172"/>
      <c r="H56" s="172"/>
    </row>
  </sheetData>
  <mergeCells count="7">
    <mergeCell ref="B55:H55"/>
    <mergeCell ref="B56:H56"/>
    <mergeCell ref="B50:H50"/>
    <mergeCell ref="B51:H51"/>
    <mergeCell ref="B52:H52"/>
    <mergeCell ref="B53:H53"/>
    <mergeCell ref="B54:H54"/>
  </mergeCells>
  <printOptions horizontalCentered="1"/>
  <pageMargins left="0.7" right="0.7" top="0.75" bottom="0.75" header="0.3" footer="0.3"/>
  <pageSetup fitToWidth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D97A-E3D3-4B20-BCC2-2F4BBE2F85D7}">
  <sheetPr>
    <pageSetUpPr fitToPage="1"/>
  </sheetPr>
  <dimension ref="A1:CQ45"/>
  <sheetViews>
    <sheetView topLeftCell="A25" workbookViewId="0">
      <selection activeCell="B43" sqref="B43"/>
    </sheetView>
  </sheetViews>
  <sheetFormatPr defaultRowHeight="15"/>
  <cols>
    <col min="1" max="1" width="2" customWidth="1"/>
    <col min="2" max="2" width="31.7109375" customWidth="1"/>
    <col min="3" max="3" width="2.5703125" customWidth="1"/>
    <col min="4" max="8" width="12.140625" customWidth="1"/>
  </cols>
  <sheetData>
    <row r="1" spans="1:95" ht="7.5" customHeight="1"/>
    <row r="6" spans="1:95">
      <c r="B6" s="45" t="s">
        <v>224</v>
      </c>
      <c r="C6" s="45"/>
      <c r="D6" s="24"/>
      <c r="E6" s="24"/>
      <c r="F6" s="24"/>
      <c r="G6" s="24"/>
      <c r="H6" s="24"/>
    </row>
    <row r="7" spans="1:95" s="70" customFormat="1">
      <c r="A7" s="33"/>
      <c r="B7" s="140" t="s">
        <v>225</v>
      </c>
      <c r="C7" s="140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</row>
    <row r="8" spans="1:95">
      <c r="B8" s="144"/>
      <c r="C8" s="144"/>
      <c r="D8" s="50" t="s">
        <v>12</v>
      </c>
      <c r="E8" s="50" t="s">
        <v>11</v>
      </c>
      <c r="F8" s="50" t="s">
        <v>10</v>
      </c>
      <c r="G8" s="50" t="s">
        <v>9</v>
      </c>
      <c r="H8" s="50" t="s">
        <v>8</v>
      </c>
    </row>
    <row r="9" spans="1:95">
      <c r="B9" s="6" t="s">
        <v>226</v>
      </c>
      <c r="C9" s="6"/>
      <c r="D9" s="42">
        <v>12561</v>
      </c>
      <c r="E9" s="42">
        <v>24494</v>
      </c>
      <c r="F9" s="42">
        <v>16510</v>
      </c>
      <c r="G9" s="42">
        <v>33714</v>
      </c>
      <c r="H9" s="42">
        <v>62079</v>
      </c>
    </row>
    <row r="10" spans="1:95">
      <c r="B10" s="6" t="s">
        <v>50</v>
      </c>
      <c r="C10" s="6"/>
      <c r="D10" s="42">
        <v>28791</v>
      </c>
      <c r="E10" s="42">
        <v>44187</v>
      </c>
      <c r="F10" s="42">
        <v>41182</v>
      </c>
      <c r="G10" s="42">
        <v>65728</v>
      </c>
      <c r="H10" s="42">
        <v>111601</v>
      </c>
    </row>
    <row r="11" spans="1:95">
      <c r="B11" s="139" t="s">
        <v>227</v>
      </c>
      <c r="C11" s="142"/>
      <c r="D11" s="62">
        <v>0.44</v>
      </c>
      <c r="E11" s="62">
        <v>0.55000000000000004</v>
      </c>
      <c r="F11" s="62">
        <v>0.4</v>
      </c>
      <c r="G11" s="62">
        <v>0.51</v>
      </c>
      <c r="H11" s="62">
        <v>0.56000000000000005</v>
      </c>
    </row>
    <row r="12" spans="1:95">
      <c r="B12" s="73"/>
      <c r="C12" s="73"/>
      <c r="D12" s="1"/>
      <c r="E12" s="1"/>
      <c r="F12" s="1"/>
      <c r="G12" s="1"/>
      <c r="H12" s="1"/>
    </row>
    <row r="13" spans="1:95">
      <c r="B13" s="123" t="s">
        <v>228</v>
      </c>
      <c r="C13" s="70"/>
      <c r="D13" s="70"/>
      <c r="E13" s="70"/>
      <c r="F13" s="70"/>
      <c r="G13" s="70"/>
      <c r="H13" s="70"/>
    </row>
    <row r="14" spans="1:95">
      <c r="B14" s="73"/>
      <c r="C14" s="73"/>
      <c r="D14" s="1" t="s">
        <v>12</v>
      </c>
      <c r="E14" s="1" t="s">
        <v>11</v>
      </c>
      <c r="F14" s="1" t="s">
        <v>10</v>
      </c>
      <c r="G14" s="1" t="s">
        <v>9</v>
      </c>
      <c r="H14" s="1" t="s">
        <v>8</v>
      </c>
    </row>
    <row r="15" spans="1:95">
      <c r="B15" s="6" t="s">
        <v>229</v>
      </c>
      <c r="C15" s="6"/>
      <c r="D15" s="42">
        <v>18908</v>
      </c>
      <c r="E15" s="42">
        <v>16235</v>
      </c>
      <c r="F15" s="42">
        <v>10171</v>
      </c>
      <c r="G15" s="42">
        <v>29817</v>
      </c>
      <c r="H15" s="42">
        <v>68038</v>
      </c>
    </row>
    <row r="16" spans="1:95">
      <c r="B16" s="6" t="s">
        <v>50</v>
      </c>
      <c r="C16" s="6"/>
      <c r="D16" s="42">
        <v>28791</v>
      </c>
      <c r="E16" s="42">
        <v>44187</v>
      </c>
      <c r="F16" s="42">
        <v>41182</v>
      </c>
      <c r="G16" s="42">
        <v>65728</v>
      </c>
      <c r="H16" s="42">
        <v>111601</v>
      </c>
    </row>
    <row r="17" spans="2:8">
      <c r="B17" s="139" t="s">
        <v>230</v>
      </c>
      <c r="C17" s="142"/>
      <c r="D17" s="62">
        <v>0.66</v>
      </c>
      <c r="E17" s="62">
        <v>0.37</v>
      </c>
      <c r="F17" s="62">
        <v>0.25</v>
      </c>
      <c r="G17" s="62">
        <v>0.45</v>
      </c>
      <c r="H17" s="62">
        <v>0.61</v>
      </c>
    </row>
    <row r="18" spans="2:8">
      <c r="B18" s="73"/>
      <c r="C18" s="73"/>
      <c r="D18" s="1"/>
      <c r="E18" s="1"/>
      <c r="F18" s="1"/>
      <c r="G18" s="1"/>
      <c r="H18" s="1"/>
    </row>
    <row r="19" spans="2:8">
      <c r="B19" s="123" t="s">
        <v>231</v>
      </c>
      <c r="C19" s="70"/>
      <c r="D19" s="70"/>
      <c r="E19" s="70"/>
      <c r="F19" s="70"/>
      <c r="G19" s="70"/>
      <c r="H19" s="70"/>
    </row>
    <row r="20" spans="2:8">
      <c r="B20" s="73"/>
      <c r="C20" s="73"/>
      <c r="D20" s="1" t="s">
        <v>12</v>
      </c>
      <c r="E20" s="1" t="s">
        <v>11</v>
      </c>
      <c r="F20" s="1" t="s">
        <v>10</v>
      </c>
      <c r="G20" s="1" t="s">
        <v>9</v>
      </c>
      <c r="H20" s="1" t="s">
        <v>8</v>
      </c>
    </row>
    <row r="21" spans="2:8">
      <c r="B21" s="6" t="s">
        <v>128</v>
      </c>
      <c r="C21" s="6"/>
      <c r="D21" s="42">
        <v>4532</v>
      </c>
      <c r="E21" s="42">
        <v>10041</v>
      </c>
      <c r="F21" s="42">
        <v>5577</v>
      </c>
      <c r="G21" s="42">
        <v>32972</v>
      </c>
      <c r="H21" s="42">
        <v>81453</v>
      </c>
    </row>
    <row r="22" spans="2:8">
      <c r="B22" s="6" t="s">
        <v>50</v>
      </c>
      <c r="C22" s="6"/>
      <c r="D22" s="42">
        <v>28791</v>
      </c>
      <c r="E22" s="42">
        <v>44187</v>
      </c>
      <c r="F22" s="42">
        <v>41182</v>
      </c>
      <c r="G22" s="42">
        <v>65728</v>
      </c>
      <c r="H22" s="42">
        <v>111601</v>
      </c>
    </row>
    <row r="23" spans="2:8">
      <c r="B23" s="139" t="s">
        <v>232</v>
      </c>
      <c r="C23" s="142"/>
      <c r="D23" s="62">
        <v>0.16</v>
      </c>
      <c r="E23" s="62">
        <v>0.23</v>
      </c>
      <c r="F23" s="62">
        <v>0.14000000000000001</v>
      </c>
      <c r="G23" s="62">
        <v>0.5</v>
      </c>
      <c r="H23" s="62">
        <v>0.73</v>
      </c>
    </row>
    <row r="24" spans="2:8">
      <c r="B24" s="73"/>
      <c r="C24" s="73"/>
      <c r="D24" s="1"/>
      <c r="E24" s="1"/>
      <c r="F24" s="1"/>
      <c r="G24" s="1"/>
      <c r="H24" s="1"/>
    </row>
    <row r="25" spans="2:8">
      <c r="B25" s="141" t="s">
        <v>233</v>
      </c>
      <c r="C25" s="70"/>
      <c r="D25" s="70"/>
      <c r="E25" s="70"/>
      <c r="F25" s="70"/>
      <c r="G25" s="70"/>
      <c r="H25" s="70"/>
    </row>
    <row r="26" spans="2:8">
      <c r="B26" s="73"/>
      <c r="C26" s="73"/>
      <c r="D26" s="1" t="s">
        <v>12</v>
      </c>
      <c r="E26" s="1" t="s">
        <v>11</v>
      </c>
      <c r="F26" s="1" t="s">
        <v>10</v>
      </c>
      <c r="G26" s="1" t="s">
        <v>9</v>
      </c>
      <c r="H26" s="1" t="s">
        <v>8</v>
      </c>
    </row>
    <row r="27" spans="2:8">
      <c r="B27" s="11" t="s">
        <v>234</v>
      </c>
      <c r="C27" s="6"/>
      <c r="D27" s="42">
        <v>350000</v>
      </c>
      <c r="E27" s="42">
        <v>450000</v>
      </c>
      <c r="F27" s="42">
        <v>600000</v>
      </c>
      <c r="G27" s="42">
        <v>1200000</v>
      </c>
      <c r="H27" s="42">
        <v>2728440</v>
      </c>
    </row>
    <row r="28" spans="2:8">
      <c r="B28" s="6" t="s">
        <v>55</v>
      </c>
      <c r="C28" s="6"/>
      <c r="D28" s="42">
        <v>11898</v>
      </c>
      <c r="E28" s="42">
        <v>17575</v>
      </c>
      <c r="F28" s="42">
        <v>19081</v>
      </c>
      <c r="G28" s="42">
        <v>22750</v>
      </c>
      <c r="H28" s="42">
        <v>32274</v>
      </c>
    </row>
    <row r="29" spans="2:8">
      <c r="B29" s="139" t="s">
        <v>235</v>
      </c>
      <c r="C29" s="142"/>
      <c r="D29" s="62">
        <v>29.41</v>
      </c>
      <c r="E29" s="62">
        <v>25.61</v>
      </c>
      <c r="F29" s="62">
        <v>31.45</v>
      </c>
      <c r="G29" s="62">
        <v>52.75</v>
      </c>
      <c r="H29" s="62">
        <v>84.52</v>
      </c>
    </row>
    <row r="30" spans="2:8">
      <c r="B30" s="73"/>
      <c r="C30" s="73"/>
      <c r="D30" s="1"/>
      <c r="E30" s="1"/>
      <c r="F30" s="1"/>
      <c r="G30" s="1"/>
      <c r="H30" s="1"/>
    </row>
    <row r="31" spans="2:8">
      <c r="B31" s="123" t="s">
        <v>236</v>
      </c>
      <c r="C31" s="70"/>
      <c r="D31" s="70"/>
      <c r="E31" s="70"/>
      <c r="F31" s="70"/>
      <c r="G31" s="70"/>
      <c r="H31" s="70"/>
    </row>
    <row r="32" spans="2:8">
      <c r="B32" s="73"/>
      <c r="C32" s="73"/>
      <c r="D32" s="1" t="s">
        <v>12</v>
      </c>
      <c r="E32" s="1" t="s">
        <v>11</v>
      </c>
      <c r="F32" s="1" t="s">
        <v>10</v>
      </c>
      <c r="G32" s="1" t="s">
        <v>9</v>
      </c>
      <c r="H32" s="1" t="s">
        <v>8</v>
      </c>
    </row>
    <row r="33" spans="2:8">
      <c r="B33" s="6" t="s">
        <v>237</v>
      </c>
      <c r="C33" s="6"/>
      <c r="D33" s="42">
        <v>16675</v>
      </c>
      <c r="E33" s="42">
        <v>26914</v>
      </c>
      <c r="F33" s="42">
        <v>26974</v>
      </c>
      <c r="G33" s="42">
        <v>60922</v>
      </c>
      <c r="H33" s="42">
        <v>130497</v>
      </c>
    </row>
    <row r="34" spans="2:8">
      <c r="B34" s="6" t="s">
        <v>50</v>
      </c>
      <c r="C34" s="6"/>
      <c r="D34" s="42">
        <v>28791</v>
      </c>
      <c r="E34" s="42">
        <v>44187</v>
      </c>
      <c r="F34" s="42">
        <v>41182</v>
      </c>
      <c r="G34" s="42">
        <v>65728</v>
      </c>
      <c r="H34" s="42">
        <v>111601</v>
      </c>
    </row>
    <row r="35" spans="2:8">
      <c r="B35" s="139" t="s">
        <v>238</v>
      </c>
      <c r="C35" s="142"/>
      <c r="D35" s="62">
        <v>0.57999999999999996</v>
      </c>
      <c r="E35" s="62">
        <v>0.61</v>
      </c>
      <c r="F35" s="62">
        <v>0.65</v>
      </c>
      <c r="G35" s="62">
        <v>0.93</v>
      </c>
      <c r="H35" s="62">
        <v>1.17</v>
      </c>
    </row>
    <row r="36" spans="2:8">
      <c r="B36" s="73"/>
      <c r="C36" s="73"/>
      <c r="D36" s="1"/>
      <c r="E36" s="1"/>
      <c r="F36" s="1"/>
      <c r="G36" s="1"/>
      <c r="H36" s="1"/>
    </row>
    <row r="37" spans="2:8">
      <c r="B37" s="123" t="s">
        <v>239</v>
      </c>
      <c r="C37" s="70"/>
      <c r="D37" s="70"/>
      <c r="E37" s="70"/>
      <c r="F37" s="70"/>
      <c r="G37" s="70"/>
      <c r="H37" s="70"/>
    </row>
    <row r="38" spans="2:8">
      <c r="B38" s="1"/>
      <c r="C38" s="1"/>
      <c r="D38" s="1" t="s">
        <v>12</v>
      </c>
      <c r="E38" s="1" t="s">
        <v>11</v>
      </c>
      <c r="F38" s="1" t="s">
        <v>10</v>
      </c>
      <c r="G38" s="1" t="s">
        <v>9</v>
      </c>
      <c r="H38" s="1" t="s">
        <v>8</v>
      </c>
    </row>
    <row r="39" spans="2:8">
      <c r="B39" s="62" t="s">
        <v>239</v>
      </c>
      <c r="C39" s="62"/>
      <c r="D39" s="62">
        <v>20.8</v>
      </c>
      <c r="E39" s="62">
        <v>19.3</v>
      </c>
      <c r="F39" s="62">
        <v>22.4</v>
      </c>
      <c r="G39" s="62">
        <v>36.700000000000003</v>
      </c>
      <c r="H39" s="62">
        <v>58.9</v>
      </c>
    </row>
    <row r="40" spans="2:8">
      <c r="B40" t="s">
        <v>240</v>
      </c>
      <c r="D40" t="s">
        <v>241</v>
      </c>
      <c r="E40" t="s">
        <v>241</v>
      </c>
      <c r="F40" t="s">
        <v>241</v>
      </c>
      <c r="G40" t="s">
        <v>241</v>
      </c>
      <c r="H40" t="s">
        <v>241</v>
      </c>
    </row>
    <row r="42" spans="2:8">
      <c r="B42" s="1" t="s">
        <v>242</v>
      </c>
      <c r="C42" s="1"/>
      <c r="D42" s="13" t="s">
        <v>243</v>
      </c>
      <c r="E42" s="143"/>
    </row>
    <row r="43" spans="2:8">
      <c r="B43" s="11" t="s">
        <v>244</v>
      </c>
      <c r="C43" s="6"/>
      <c r="D43" s="174" t="s">
        <v>245</v>
      </c>
      <c r="E43" s="174"/>
      <c r="F43" s="174"/>
      <c r="G43" s="174"/>
      <c r="H43" s="174"/>
    </row>
    <row r="44" spans="2:8">
      <c r="B44" s="11" t="s">
        <v>246</v>
      </c>
      <c r="C44" s="6"/>
      <c r="D44" s="174"/>
      <c r="E44" s="174"/>
      <c r="F44" s="174"/>
      <c r="G44" s="174"/>
      <c r="H44" s="174"/>
    </row>
    <row r="45" spans="2:8">
      <c r="B45" s="11" t="s">
        <v>247</v>
      </c>
      <c r="C45" s="6"/>
    </row>
  </sheetData>
  <mergeCells count="1">
    <mergeCell ref="D43:H44"/>
  </mergeCells>
  <printOptions horizontalCentered="1"/>
  <pageMargins left="0.7" right="0.7" top="0.75" bottom="0.75" header="0.3" footer="0.3"/>
  <pageSetup fitToWidth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535E-5400-4B8B-A67B-1F013C41D7B0}">
  <dimension ref="B1:T56"/>
  <sheetViews>
    <sheetView topLeftCell="H1" workbookViewId="0">
      <selection activeCell="H22" sqref="H22"/>
    </sheetView>
  </sheetViews>
  <sheetFormatPr defaultRowHeight="15"/>
  <cols>
    <col min="1" max="1" width="1.5703125" customWidth="1"/>
    <col min="2" max="3" width="9.5703125" customWidth="1"/>
    <col min="7" max="7" width="10.28515625" customWidth="1"/>
    <col min="12" max="12" width="9" customWidth="1"/>
    <col min="17" max="17" width="9.28515625" customWidth="1"/>
  </cols>
  <sheetData>
    <row r="1" spans="2:20" ht="7.5" customHeight="1"/>
    <row r="2" spans="2:20" ht="18.75">
      <c r="B2" s="175" t="s">
        <v>248</v>
      </c>
      <c r="C2" s="175"/>
    </row>
    <row r="8" spans="2:20">
      <c r="B8" s="20" t="s">
        <v>249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24"/>
    </row>
    <row r="10" spans="2:20">
      <c r="B10" s="25" t="s">
        <v>250</v>
      </c>
      <c r="C10" s="21"/>
      <c r="D10" s="21"/>
      <c r="E10" s="21"/>
      <c r="G10" s="26" t="s">
        <v>251</v>
      </c>
      <c r="H10" s="21"/>
      <c r="I10" s="21"/>
      <c r="J10" s="21"/>
      <c r="L10" s="25" t="s">
        <v>252</v>
      </c>
      <c r="M10" s="21"/>
      <c r="N10" s="21"/>
      <c r="O10" s="21"/>
      <c r="Q10" s="25" t="s">
        <v>253</v>
      </c>
      <c r="R10" s="21"/>
      <c r="S10" s="21"/>
      <c r="T10" s="21"/>
    </row>
    <row r="11" spans="2:20">
      <c r="B11" s="11" t="s">
        <v>249</v>
      </c>
      <c r="D11" t="s">
        <v>254</v>
      </c>
      <c r="E11" t="s">
        <v>255</v>
      </c>
      <c r="G11" s="12" t="s">
        <v>249</v>
      </c>
      <c r="I11" t="s">
        <v>256</v>
      </c>
      <c r="J11" t="s">
        <v>255</v>
      </c>
      <c r="L11" s="22" t="s">
        <v>249</v>
      </c>
      <c r="N11" t="s">
        <v>254</v>
      </c>
      <c r="O11" t="s">
        <v>255</v>
      </c>
      <c r="Q11" s="22" t="s">
        <v>249</v>
      </c>
      <c r="S11" t="s">
        <v>256</v>
      </c>
      <c r="T11" t="s">
        <v>255</v>
      </c>
    </row>
    <row r="12" spans="2:20">
      <c r="B12" t="s">
        <v>18</v>
      </c>
      <c r="G12" s="5" t="s">
        <v>18</v>
      </c>
      <c r="Q12" s="5" t="s">
        <v>18</v>
      </c>
    </row>
    <row r="13" spans="2:20">
      <c r="B13" t="s">
        <v>128</v>
      </c>
      <c r="G13" s="5" t="s">
        <v>18</v>
      </c>
      <c r="L13" s="5" t="s">
        <v>18</v>
      </c>
      <c r="Q13" s="5" t="s">
        <v>18</v>
      </c>
    </row>
    <row r="14" spans="2:20">
      <c r="B14" t="s">
        <v>153</v>
      </c>
      <c r="G14" t="s">
        <v>128</v>
      </c>
      <c r="Q14" t="s">
        <v>128</v>
      </c>
    </row>
    <row r="15" spans="2:20">
      <c r="B15" t="s">
        <v>257</v>
      </c>
      <c r="G15" t="s">
        <v>128</v>
      </c>
      <c r="L15" t="s">
        <v>128</v>
      </c>
      <c r="Q15" t="s">
        <v>128</v>
      </c>
    </row>
    <row r="17" spans="2:18">
      <c r="B17" s="23" t="s">
        <v>172</v>
      </c>
      <c r="G17" s="23" t="s">
        <v>172</v>
      </c>
      <c r="L17" s="23" t="s">
        <v>172</v>
      </c>
      <c r="Q17" s="23" t="s">
        <v>172</v>
      </c>
    </row>
    <row r="18" spans="2:18">
      <c r="B18" t="s">
        <v>153</v>
      </c>
      <c r="G18" t="s">
        <v>153</v>
      </c>
      <c r="L18" t="s">
        <v>153</v>
      </c>
      <c r="Q18" t="s">
        <v>153</v>
      </c>
    </row>
    <row r="19" spans="2:18">
      <c r="B19" t="s">
        <v>257</v>
      </c>
      <c r="G19" t="s">
        <v>257</v>
      </c>
      <c r="L19" t="s">
        <v>257</v>
      </c>
      <c r="Q19" t="s">
        <v>257</v>
      </c>
    </row>
    <row r="21" spans="2:18">
      <c r="B21" s="28" t="s">
        <v>258</v>
      </c>
      <c r="C21" s="24"/>
      <c r="D21" s="24"/>
      <c r="E21" s="19" t="s">
        <v>259</v>
      </c>
      <c r="F21" s="19" t="s">
        <v>260</v>
      </c>
      <c r="G21" s="19" t="s">
        <v>261</v>
      </c>
      <c r="H21" s="19" t="s">
        <v>262</v>
      </c>
      <c r="I21" s="19" t="s">
        <v>263</v>
      </c>
      <c r="J21" s="19" t="s">
        <v>264</v>
      </c>
      <c r="K21" s="19" t="s">
        <v>265</v>
      </c>
      <c r="L21" s="19" t="s">
        <v>266</v>
      </c>
      <c r="M21" s="27" t="s">
        <v>267</v>
      </c>
      <c r="N21" s="27" t="s">
        <v>268</v>
      </c>
      <c r="O21" s="19" t="s">
        <v>269</v>
      </c>
      <c r="P21" s="19" t="s">
        <v>270</v>
      </c>
      <c r="Q21" s="19" t="s">
        <v>271</v>
      </c>
      <c r="R21" s="19" t="s">
        <v>272</v>
      </c>
    </row>
    <row r="22" spans="2:18">
      <c r="B22" s="5" t="s">
        <v>18</v>
      </c>
      <c r="E22" s="8">
        <v>5010</v>
      </c>
      <c r="F22" s="8">
        <v>6910</v>
      </c>
      <c r="G22" s="8">
        <v>9714</v>
      </c>
      <c r="H22" s="8">
        <v>10918</v>
      </c>
      <c r="I22" s="8">
        <v>11716</v>
      </c>
      <c r="J22" s="8">
        <v>16675</v>
      </c>
      <c r="K22" s="8">
        <v>26914</v>
      </c>
      <c r="L22" s="8">
        <v>26974</v>
      </c>
      <c r="M22" s="8">
        <v>60922</v>
      </c>
      <c r="N22" s="8">
        <v>130497</v>
      </c>
    </row>
    <row r="23" spans="2:18">
      <c r="B23" s="29" t="s">
        <v>273</v>
      </c>
      <c r="E23" s="8"/>
      <c r="G23" s="8"/>
      <c r="H23" s="8"/>
      <c r="I23" s="8"/>
      <c r="J23" s="8"/>
      <c r="K23" s="8"/>
      <c r="L23" s="8"/>
      <c r="M23" s="8"/>
      <c r="N23" s="8"/>
    </row>
    <row r="24" spans="2:18">
      <c r="E24" s="8"/>
      <c r="F24" s="8"/>
      <c r="H24" s="8"/>
      <c r="I24" s="8"/>
      <c r="J24" s="8"/>
      <c r="K24" s="8"/>
      <c r="L24" s="8"/>
      <c r="M24" s="8"/>
      <c r="N24" s="8"/>
    </row>
    <row r="25" spans="2:18">
      <c r="B25" t="s">
        <v>128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2:18">
      <c r="B26" s="30" t="s">
        <v>274</v>
      </c>
      <c r="E26" s="8"/>
      <c r="F26" s="8"/>
      <c r="G26" s="8"/>
      <c r="H26" s="8"/>
      <c r="J26" s="8"/>
      <c r="K26" s="8"/>
      <c r="L26" s="8"/>
      <c r="M26" s="8"/>
      <c r="N26" s="8"/>
    </row>
    <row r="27" spans="2:18">
      <c r="E27" s="8"/>
      <c r="F27" s="8"/>
      <c r="G27" s="8"/>
      <c r="H27" s="8"/>
      <c r="I27" s="8"/>
      <c r="K27" s="8"/>
      <c r="L27" s="8"/>
      <c r="M27" s="8"/>
      <c r="N27" s="8"/>
    </row>
    <row r="28" spans="2:18">
      <c r="E28" s="8"/>
      <c r="F28" s="8"/>
      <c r="G28" s="8"/>
      <c r="H28" s="8"/>
      <c r="I28" s="8"/>
      <c r="K28" s="8"/>
      <c r="L28" s="8"/>
      <c r="M28" s="8"/>
      <c r="N28" s="8"/>
    </row>
    <row r="29" spans="2:18">
      <c r="E29" s="8"/>
      <c r="F29" s="8"/>
      <c r="G29" s="8"/>
      <c r="H29" s="8"/>
      <c r="I29" s="8"/>
      <c r="K29" s="8"/>
      <c r="L29" s="8"/>
      <c r="M29" s="8"/>
      <c r="N29" s="8"/>
    </row>
    <row r="30" spans="2:18">
      <c r="E30" s="8"/>
      <c r="F30" s="8"/>
      <c r="G30" s="8"/>
      <c r="H30" s="8"/>
      <c r="I30" s="8"/>
      <c r="K30" s="8"/>
      <c r="L30" s="8"/>
      <c r="M30" s="8"/>
      <c r="N30" s="8"/>
    </row>
    <row r="31" spans="2:18">
      <c r="B31" s="27" t="s">
        <v>275</v>
      </c>
      <c r="C31" s="24"/>
      <c r="D31" s="24"/>
      <c r="E31" s="27" t="s">
        <v>268</v>
      </c>
      <c r="F31" s="27" t="s">
        <v>267</v>
      </c>
      <c r="G31" s="19" t="s">
        <v>266</v>
      </c>
      <c r="H31" s="19" t="s">
        <v>265</v>
      </c>
      <c r="I31" s="19" t="s">
        <v>264</v>
      </c>
      <c r="J31" s="19" t="s">
        <v>262</v>
      </c>
      <c r="K31" s="19" t="s">
        <v>263</v>
      </c>
      <c r="L31" s="19" t="s">
        <v>261</v>
      </c>
      <c r="M31" s="19" t="s">
        <v>260</v>
      </c>
      <c r="N31" s="19" t="s">
        <v>259</v>
      </c>
      <c r="O31" s="19" t="s">
        <v>269</v>
      </c>
      <c r="P31" s="19" t="s">
        <v>270</v>
      </c>
      <c r="Q31" s="19" t="s">
        <v>271</v>
      </c>
      <c r="R31" s="19" t="s">
        <v>272</v>
      </c>
    </row>
    <row r="32" spans="2:18">
      <c r="B32" s="31" t="s">
        <v>141</v>
      </c>
      <c r="E32" s="8"/>
      <c r="F32" s="8"/>
      <c r="G32" s="8"/>
      <c r="H32" s="8"/>
      <c r="I32" s="8"/>
      <c r="J32" s="8"/>
      <c r="K32" s="8"/>
      <c r="M32" s="8"/>
      <c r="N32" s="8"/>
    </row>
    <row r="33" spans="2:19">
      <c r="B33" s="30" t="s">
        <v>274</v>
      </c>
      <c r="E33" s="8"/>
      <c r="F33" s="8"/>
      <c r="G33" s="8"/>
      <c r="H33" s="8"/>
      <c r="I33" s="8"/>
      <c r="J33" s="8"/>
      <c r="K33" s="8"/>
      <c r="L33" s="8"/>
      <c r="N33" s="8"/>
    </row>
    <row r="34" spans="2:19">
      <c r="E34" s="8"/>
      <c r="F34" s="8"/>
      <c r="G34" s="8"/>
      <c r="H34" s="8"/>
      <c r="I34" s="8"/>
      <c r="J34" s="8"/>
      <c r="K34" s="8"/>
      <c r="L34" s="8"/>
      <c r="M34" s="8"/>
    </row>
    <row r="35" spans="2:19">
      <c r="B35" t="s">
        <v>144</v>
      </c>
    </row>
    <row r="36" spans="2:19">
      <c r="B36" s="30" t="s">
        <v>274</v>
      </c>
    </row>
    <row r="38" spans="2:19">
      <c r="B38" s="11" t="s">
        <v>276</v>
      </c>
    </row>
    <row r="39" spans="2:19">
      <c r="B39" s="6" t="s">
        <v>274</v>
      </c>
    </row>
    <row r="40" spans="2:19">
      <c r="B40" s="11" t="s">
        <v>277</v>
      </c>
    </row>
    <row r="42" spans="2:19">
      <c r="B42" s="27" t="s">
        <v>278</v>
      </c>
      <c r="C42" s="24"/>
      <c r="D42" s="24"/>
      <c r="E42" s="27" t="s">
        <v>268</v>
      </c>
      <c r="F42" s="27" t="s">
        <v>267</v>
      </c>
      <c r="G42" s="19" t="s">
        <v>266</v>
      </c>
      <c r="H42" s="19" t="s">
        <v>265</v>
      </c>
      <c r="I42" s="19" t="s">
        <v>264</v>
      </c>
      <c r="J42" s="19" t="s">
        <v>262</v>
      </c>
      <c r="K42" s="19" t="s">
        <v>263</v>
      </c>
      <c r="L42" s="19" t="s">
        <v>261</v>
      </c>
      <c r="M42" s="19" t="s">
        <v>260</v>
      </c>
      <c r="N42" s="19" t="s">
        <v>259</v>
      </c>
      <c r="O42" s="19" t="s">
        <v>269</v>
      </c>
      <c r="P42" s="19" t="s">
        <v>270</v>
      </c>
      <c r="Q42" s="19" t="s">
        <v>271</v>
      </c>
      <c r="R42" s="19" t="s">
        <v>272</v>
      </c>
      <c r="S42" s="33"/>
    </row>
    <row r="43" spans="2:19">
      <c r="B43" s="5" t="s">
        <v>18</v>
      </c>
    </row>
    <row r="44" spans="2:19">
      <c r="B44" s="29" t="s">
        <v>273</v>
      </c>
    </row>
    <row r="49" spans="2:2">
      <c r="B49" t="s">
        <v>128</v>
      </c>
    </row>
    <row r="50" spans="2:2">
      <c r="B50" s="30" t="s">
        <v>274</v>
      </c>
    </row>
    <row r="55" spans="2:2">
      <c r="B55" t="s">
        <v>279</v>
      </c>
    </row>
    <row r="56" spans="2:2">
      <c r="B56" s="32" t="s">
        <v>280</v>
      </c>
    </row>
  </sheetData>
  <sortState xmlns:xlrd2="http://schemas.microsoft.com/office/spreadsheetml/2017/richdata2" columnSort="1" ref="E21:R22">
    <sortCondition ref="E22:R22"/>
  </sortState>
  <mergeCells count="1">
    <mergeCell ref="B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854E-22AE-4F6B-AAD1-C1389F462F6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2026-03-02T13:53:38Z</dcterms:created>
  <dcterms:modified xsi:type="dcterms:W3CDTF">2026-03-15T05:21:43Z</dcterms:modified>
  <cp:category/>
  <cp:contentStatus/>
</cp:coreProperties>
</file>